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1989A\EXCELCNV\7847c9ff-132c-4a43-8125-1620e40bfbb8\"/>
    </mc:Choice>
  </mc:AlternateContent>
  <xr:revisionPtr revIDLastSave="170" documentId="8_{56BF2CF9-966C-442B-BD09-F0CA43B547A4}" xr6:coauthVersionLast="47" xr6:coauthVersionMax="47" xr10:uidLastSave="{AAA428FF-AF24-463D-91E9-54AF8F9D9B5F}"/>
  <bookViews>
    <workbookView xWindow="-60" yWindow="-60" windowWidth="15480" windowHeight="11640" xr2:uid="{E7097AC6-02D4-4C45-9650-A95CEE150D7C}"/>
  </bookViews>
  <sheets>
    <sheet name="in" sheetId="1" r:id="rId1"/>
  </sheets>
  <definedNames>
    <definedName name="_xlchart.v1.0" hidden="1">in!$T$1</definedName>
    <definedName name="_xlchart.v1.1" hidden="1">in!$T$2:$T$63</definedName>
    <definedName name="_xlchart.v1.2" hidden="1">in!$AB$3:$AB$63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AB8" i="1"/>
  <c r="AB10" i="1"/>
  <c r="AB11" i="1"/>
  <c r="AB12" i="1"/>
  <c r="AB15" i="1"/>
  <c r="AB16" i="1"/>
  <c r="AB17" i="1"/>
  <c r="AB18" i="1"/>
  <c r="AB19" i="1"/>
  <c r="AB20" i="1"/>
  <c r="AB21" i="1"/>
  <c r="AB22" i="1"/>
  <c r="AB23" i="1"/>
  <c r="AB24" i="1"/>
  <c r="AB25" i="1"/>
  <c r="AB27" i="1"/>
  <c r="AB29" i="1"/>
  <c r="AB30" i="1"/>
  <c r="AB31" i="1"/>
  <c r="AB33" i="1"/>
  <c r="AB34" i="1"/>
  <c r="AB35" i="1"/>
  <c r="AB37" i="1"/>
  <c r="AB38" i="1"/>
  <c r="AB41" i="1"/>
  <c r="AB42" i="1"/>
  <c r="AB44" i="1"/>
  <c r="AB45" i="1"/>
  <c r="AB46" i="1"/>
  <c r="AB47" i="1"/>
  <c r="AB48" i="1"/>
  <c r="AB49" i="1"/>
  <c r="AB50" i="1"/>
  <c r="AB51" i="1"/>
  <c r="AB52" i="1"/>
  <c r="AB55" i="1"/>
  <c r="AB56" i="1"/>
  <c r="AB59" i="1"/>
  <c r="AB60" i="1"/>
  <c r="AB61" i="1"/>
  <c r="AB63" i="1"/>
  <c r="AA3" i="1"/>
  <c r="AB3" i="1" s="1"/>
  <c r="AA26" i="1"/>
  <c r="AB26" i="1" s="1"/>
  <c r="AA28" i="1"/>
  <c r="AB28" i="1" s="1"/>
  <c r="AA32" i="1"/>
  <c r="AB32" i="1" s="1"/>
  <c r="AA36" i="1"/>
  <c r="AB36" i="1" s="1"/>
  <c r="AA39" i="1"/>
  <c r="AB39" i="1" s="1"/>
  <c r="AA40" i="1"/>
  <c r="AB40" i="1" s="1"/>
  <c r="AA43" i="1"/>
  <c r="AB43" i="1" s="1"/>
  <c r="AA53" i="1"/>
  <c r="AB53" i="1" s="1"/>
  <c r="AA54" i="1"/>
  <c r="AB54" i="1" s="1"/>
  <c r="AA57" i="1"/>
  <c r="AB57" i="1" s="1"/>
  <c r="AA58" i="1"/>
  <c r="AA62" i="1"/>
  <c r="AB62" i="1" s="1"/>
  <c r="AA4" i="1"/>
  <c r="AB4" i="1" s="1"/>
  <c r="AA6" i="1"/>
  <c r="AB6" i="1" s="1"/>
  <c r="AA7" i="1"/>
  <c r="AB7" i="1" s="1"/>
  <c r="AA9" i="1"/>
  <c r="AB9" i="1" s="1"/>
  <c r="AA13" i="1"/>
  <c r="AB13" i="1" s="1"/>
  <c r="AA14" i="1"/>
  <c r="AB14" i="1" s="1"/>
  <c r="AB58" i="1" l="1"/>
  <c r="AA1048576" i="1"/>
</calcChain>
</file>

<file path=xl/sharedStrings.xml><?xml version="1.0" encoding="utf-8"?>
<sst xmlns="http://schemas.openxmlformats.org/spreadsheetml/2006/main" count="222" uniqueCount="155">
  <si>
    <t>Student</t>
  </si>
  <si>
    <t>ID</t>
  </si>
  <si>
    <t>SIS Login ID</t>
  </si>
  <si>
    <t>Section</t>
  </si>
  <si>
    <t>Term Project (Hard Deadline) (5911150)</t>
  </si>
  <si>
    <t>Homework 1 (5911135)</t>
  </si>
  <si>
    <t>Homework 2 (5911137)</t>
  </si>
  <si>
    <t>Homework 3 (5911138)</t>
  </si>
  <si>
    <t>Homework 4 (4.1-4.3) (5911139)</t>
  </si>
  <si>
    <t>Homework 5 (4.4a+4.5) (5911141)</t>
  </si>
  <si>
    <t>Homework 6 (5.1-5.4) (5911142)</t>
  </si>
  <si>
    <t>Homework 7 (5.5) (5911144)</t>
  </si>
  <si>
    <t>Homework 8 (6.7-6.9) (5911145)</t>
  </si>
  <si>
    <t>Term Project Topic ðŸ’«âœ¨ðŸªðŸŒ‘ (5911152)</t>
  </si>
  <si>
    <t>Sum of all assignment</t>
  </si>
  <si>
    <t xml:space="preserve">Total amount HW possible </t>
  </si>
  <si>
    <t>Total amountHW earned</t>
  </si>
  <si>
    <t>HW Tot.w/out EC+TP topic</t>
  </si>
  <si>
    <t>HW Tot+TP final</t>
  </si>
  <si>
    <t xml:space="preserve">EC from HWs </t>
  </si>
  <si>
    <t>Extra Credit GR Talk (6190271)</t>
  </si>
  <si>
    <t>Extra Credit HW Problem (5911134)</t>
  </si>
  <si>
    <t>Attendance EC  Total</t>
  </si>
  <si>
    <t>EC grand total</t>
  </si>
  <si>
    <t>Grand-extra</t>
  </si>
  <si>
    <t xml:space="preserve">Letter Grade </t>
  </si>
  <si>
    <t>Manual Posting</t>
  </si>
  <si>
    <t xml:space="preserve">    Points Possible</t>
  </si>
  <si>
    <t>A</t>
  </si>
  <si>
    <t>Asadourian, Tatiana</t>
  </si>
  <si>
    <t>tasadour</t>
  </si>
  <si>
    <t>Barnes, Jovee</t>
  </si>
  <si>
    <t>jmbarn20</t>
  </si>
  <si>
    <t>Bhagat, Sarah</t>
  </si>
  <si>
    <t>sbhagat6</t>
  </si>
  <si>
    <t>Blackburn King, Arianne</t>
  </si>
  <si>
    <t>ablackb4</t>
  </si>
  <si>
    <t>A+</t>
  </si>
  <si>
    <t>Bowling, Gibson</t>
  </si>
  <si>
    <t>gbbowlin</t>
  </si>
  <si>
    <t>Bowman, Gabriel</t>
  </si>
  <si>
    <t>gabowma1</t>
  </si>
  <si>
    <t>B</t>
  </si>
  <si>
    <t>Cardona, Ashton</t>
  </si>
  <si>
    <t>ancardo3</t>
  </si>
  <si>
    <t>Carrington, Mae</t>
  </si>
  <si>
    <t>mcarrin3</t>
  </si>
  <si>
    <t>Casanova, Emma</t>
  </si>
  <si>
    <t>edcasano</t>
  </si>
  <si>
    <t>B+</t>
  </si>
  <si>
    <t>Cencimino, Michael</t>
  </si>
  <si>
    <t>mcencimi</t>
  </si>
  <si>
    <t>Curt, Gian</t>
  </si>
  <si>
    <t>gcurt</t>
  </si>
  <si>
    <t>Davis, Elsie</t>
  </si>
  <si>
    <t>eadavi19</t>
  </si>
  <si>
    <t>Emmons, Spencer</t>
  </si>
  <si>
    <t>semmons3</t>
  </si>
  <si>
    <t>Freeman, Joslyn</t>
  </si>
  <si>
    <t>jfreem35</t>
  </si>
  <si>
    <t>Glanville, Robby</t>
  </si>
  <si>
    <t>rglanvi1</t>
  </si>
  <si>
    <t>Goralski, Roman</t>
  </si>
  <si>
    <t>rgoralsk</t>
  </si>
  <si>
    <t>Guinan, Emma</t>
  </si>
  <si>
    <t>eguinan</t>
  </si>
  <si>
    <t>Haramis, Cole</t>
  </si>
  <si>
    <t>charamis</t>
  </si>
  <si>
    <t>Hatathlie, Brenndon</t>
  </si>
  <si>
    <t>bjhatath</t>
  </si>
  <si>
    <t>C</t>
  </si>
  <si>
    <t>Headon, Jackson</t>
  </si>
  <si>
    <t>jheadon</t>
  </si>
  <si>
    <t>Higgins, Ellie</t>
  </si>
  <si>
    <t>eshiggin</t>
  </si>
  <si>
    <t>Honor, Rachel</t>
  </si>
  <si>
    <t>rchonor</t>
  </si>
  <si>
    <t>Mariscal, Daniel Jimenez</t>
  </si>
  <si>
    <t>dbjimene</t>
  </si>
  <si>
    <t>Johnston, Kendall</t>
  </si>
  <si>
    <t>kjohn256</t>
  </si>
  <si>
    <t>Johnson, Luke</t>
  </si>
  <si>
    <t>ljohn174</t>
  </si>
  <si>
    <t>Jones, Sara</t>
  </si>
  <si>
    <t>sejone37</t>
  </si>
  <si>
    <t>Joseph, Daniel</t>
  </si>
  <si>
    <t>dsjoseph</t>
  </si>
  <si>
    <t>Kabi, Arya</t>
  </si>
  <si>
    <t>akabi</t>
  </si>
  <si>
    <t>Kaiser, Anna</t>
  </si>
  <si>
    <t>amkaise4</t>
  </si>
  <si>
    <t>Kirk, Haelee</t>
  </si>
  <si>
    <t>hkirk2</t>
  </si>
  <si>
    <t>Kunz, Jesse</t>
  </si>
  <si>
    <t>jrkunz</t>
  </si>
  <si>
    <t>Leviyev, Rafael</t>
  </si>
  <si>
    <t>rleviyev</t>
  </si>
  <si>
    <t>Lottig, Andrew</t>
  </si>
  <si>
    <t>alottig</t>
  </si>
  <si>
    <t>MacLeod, Holly</t>
  </si>
  <si>
    <t>hmacleod</t>
  </si>
  <si>
    <t>Mahmoud, Abdullah Mahmoud Rajab</t>
  </si>
  <si>
    <t>amahmo23</t>
  </si>
  <si>
    <t>D</t>
  </si>
  <si>
    <t>Mammadli, Aykhan</t>
  </si>
  <si>
    <t>amammadl</t>
  </si>
  <si>
    <t>Masterson, Joel</t>
  </si>
  <si>
    <t>jwmaste1</t>
  </si>
  <si>
    <t>Meza, Leo</t>
  </si>
  <si>
    <t>lemeza4</t>
  </si>
  <si>
    <t>Miller, Megan</t>
  </si>
  <si>
    <t>mlmill46</t>
  </si>
  <si>
    <t>E</t>
  </si>
  <si>
    <t>Moreno, Esteban</t>
  </si>
  <si>
    <t>emoren47</t>
  </si>
  <si>
    <t>Olson, Connor</t>
  </si>
  <si>
    <t>colson32</t>
  </si>
  <si>
    <t>Ong, Mark</t>
  </si>
  <si>
    <t>markong</t>
  </si>
  <si>
    <t>Orozco, Geovanni</t>
  </si>
  <si>
    <t>gxorozco</t>
  </si>
  <si>
    <t>Palmieri, Isabella</t>
  </si>
  <si>
    <t>ipalmie1</t>
  </si>
  <si>
    <t>Pfaff, Cameron</t>
  </si>
  <si>
    <t>cnpfaff</t>
  </si>
  <si>
    <t>Pitzer, Ethan</t>
  </si>
  <si>
    <t>epitzer</t>
  </si>
  <si>
    <t>Rathod, Vedant</t>
  </si>
  <si>
    <t>vrathod4</t>
  </si>
  <si>
    <t>Roy, Griffin</t>
  </si>
  <si>
    <t>gcroy</t>
  </si>
  <si>
    <t>Rush, Kyle</t>
  </si>
  <si>
    <t>kkrush1</t>
  </si>
  <si>
    <t>Saavedra, Sarah</t>
  </si>
  <si>
    <t>smsaave2</t>
  </si>
  <si>
    <t>Simsim, Reem</t>
  </si>
  <si>
    <t>rsimsim</t>
  </si>
  <si>
    <t>Stefanovski, Jacob</t>
  </si>
  <si>
    <t>jstefan4</t>
  </si>
  <si>
    <t>Strader, Devon</t>
  </si>
  <si>
    <t>dstrade1</t>
  </si>
  <si>
    <t>Stribiak, Evan</t>
  </si>
  <si>
    <t>estribia</t>
  </si>
  <si>
    <t>Thomas, Tyler</t>
  </si>
  <si>
    <t>tjthom18</t>
  </si>
  <si>
    <t>Watts, Jessica</t>
  </si>
  <si>
    <t>jrwatts3</t>
  </si>
  <si>
    <t>Weissbluth, Eyan</t>
  </si>
  <si>
    <t>eweissbl</t>
  </si>
  <si>
    <t>Willsey, Dean</t>
  </si>
  <si>
    <t>djwillse</t>
  </si>
  <si>
    <t>Wrschka, Leila</t>
  </si>
  <si>
    <t>lwrschka</t>
  </si>
  <si>
    <t>Zeising, Jacob</t>
  </si>
  <si>
    <t>jzeising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</si>
</sst>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Pre-EC (HW+TP)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Pre-EC (HW+TP)</a:t>
          </a:r>
        </a:p>
      </cx:txPr>
    </cx:title>
    <cx:plotArea>
      <cx:plotAreaRegion>
        <cx:series layoutId="clusteredColumn" uniqueId="{C549932B-B848-4839-BCAD-F098EFCCCC2C}">
          <cx:tx>
            <cx:txData>
              <cx:f>_xlchart.v1.0</cx:f>
              <cx:v>HW Tot+TP final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Post EC (HW+TP+EC)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Post EC (HW+TP+EC)</a:t>
          </a:r>
        </a:p>
      </cx:txPr>
    </cx:title>
    <cx:plotArea>
      <cx:plotAreaRegion>
        <cx:series layoutId="clusteredColumn" uniqueId="{B85E2E04-3528-4B8B-BFE7-BD3DCB1F0AB3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123825</xdr:colOff>
      <xdr:row>1</xdr:row>
      <xdr:rowOff>9525</xdr:rowOff>
    </xdr:from>
    <xdr:to>
      <xdr:col>54</xdr:col>
      <xdr:colOff>209550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276411-988D-D952-4C70-4C6CD1388B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07800" y="200025"/>
              <a:ext cx="14106525" cy="509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123825</xdr:colOff>
      <xdr:row>30</xdr:row>
      <xdr:rowOff>9525</xdr:rowOff>
    </xdr:from>
    <xdr:to>
      <xdr:col>54</xdr:col>
      <xdr:colOff>209550</xdr:colOff>
      <xdr:row>63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CDEA5D8-BD24-D883-C6F5-A3827DBCA486}"/>
                </a:ext>
                <a:ext uri="{147F2762-F138-4A5C-976F-8EAC2B608ADB}">
                  <a16:predDERef xmlns:a16="http://schemas.microsoft.com/office/drawing/2014/main" pred="{8B276411-988D-D952-4C70-4C6CD1388B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07800" y="5724525"/>
              <a:ext cx="14106525" cy="640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3A8F-2994-420D-9AE3-B66A1BF4FAE6}">
  <dimension ref="A1:AC1048576"/>
  <sheetViews>
    <sheetView tabSelected="1" topLeftCell="O31" workbookViewId="0">
      <selection activeCell="AC64" sqref="AC64"/>
    </sheetView>
  </sheetViews>
  <sheetFormatPr defaultRowHeight="15"/>
  <cols>
    <col min="1" max="1" width="34.7109375" bestFit="1" customWidth="1"/>
    <col min="20" max="20" width="15.42578125" bestFit="1" customWidth="1"/>
    <col min="21" max="21" width="13.28515625" bestFit="1" customWidth="1"/>
    <col min="22" max="22" width="28.42578125" bestFit="1" customWidth="1"/>
    <col min="23" max="23" width="33.140625" bestFit="1" customWidth="1"/>
    <col min="29" max="29" width="12.710937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24</v>
      </c>
      <c r="AB1">
        <v>0</v>
      </c>
      <c r="AC1" t="s">
        <v>25</v>
      </c>
    </row>
    <row r="2" spans="1:29"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V2" t="s">
        <v>26</v>
      </c>
      <c r="W2" t="s">
        <v>26</v>
      </c>
      <c r="AB2">
        <v>0</v>
      </c>
    </row>
    <row r="3" spans="1:29">
      <c r="A3" t="s">
        <v>27</v>
      </c>
      <c r="E3">
        <v>80</v>
      </c>
      <c r="F3">
        <v>80</v>
      </c>
      <c r="G3">
        <v>20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3</v>
      </c>
      <c r="P3">
        <v>243</v>
      </c>
      <c r="Q3">
        <v>160</v>
      </c>
      <c r="R3">
        <v>160</v>
      </c>
      <c r="S3">
        <v>163</v>
      </c>
      <c r="T3">
        <v>243</v>
      </c>
      <c r="U3">
        <v>0</v>
      </c>
      <c r="V3">
        <v>0</v>
      </c>
      <c r="W3">
        <v>0</v>
      </c>
      <c r="Y3">
        <v>0</v>
      </c>
      <c r="AA3">
        <f>MAX(AC4)</f>
        <v>0</v>
      </c>
      <c r="AB3">
        <f>T3+AA3</f>
        <v>243</v>
      </c>
      <c r="AC3" t="s">
        <v>28</v>
      </c>
    </row>
    <row r="4" spans="1:29">
      <c r="A4" t="s">
        <v>29</v>
      </c>
      <c r="B4">
        <v>713035</v>
      </c>
      <c r="C4" t="s">
        <v>30</v>
      </c>
      <c r="D4">
        <v>11979</v>
      </c>
      <c r="E4">
        <v>55</v>
      </c>
      <c r="F4">
        <v>80</v>
      </c>
      <c r="G4">
        <v>20</v>
      </c>
      <c r="H4">
        <v>17</v>
      </c>
      <c r="I4">
        <v>20</v>
      </c>
      <c r="J4">
        <v>21</v>
      </c>
      <c r="K4">
        <v>20</v>
      </c>
      <c r="L4">
        <v>19.5</v>
      </c>
      <c r="M4">
        <v>19</v>
      </c>
      <c r="N4">
        <v>28</v>
      </c>
      <c r="O4">
        <v>3</v>
      </c>
      <c r="P4">
        <v>222.5</v>
      </c>
      <c r="Q4">
        <v>160</v>
      </c>
      <c r="R4">
        <v>164.5</v>
      </c>
      <c r="S4">
        <v>163</v>
      </c>
      <c r="T4">
        <v>218</v>
      </c>
      <c r="U4">
        <v>4.5</v>
      </c>
      <c r="X4">
        <v>20</v>
      </c>
      <c r="Y4">
        <v>24.5</v>
      </c>
      <c r="AA4">
        <f t="shared" ref="AA4:AB63" si="0">Y4-U4</f>
        <v>20</v>
      </c>
      <c r="AB4">
        <f t="shared" ref="AB4:AB63" si="1">T4+AA4</f>
        <v>238</v>
      </c>
      <c r="AC4" t="s">
        <v>28</v>
      </c>
    </row>
    <row r="5" spans="1:29">
      <c r="A5" t="s">
        <v>31</v>
      </c>
      <c r="B5">
        <v>913175</v>
      </c>
      <c r="C5" t="s">
        <v>32</v>
      </c>
      <c r="D5">
        <v>11979</v>
      </c>
      <c r="E5">
        <v>85</v>
      </c>
      <c r="F5">
        <v>80</v>
      </c>
      <c r="G5">
        <v>19</v>
      </c>
      <c r="H5">
        <v>17</v>
      </c>
      <c r="I5">
        <v>20</v>
      </c>
      <c r="J5">
        <v>19.5</v>
      </c>
      <c r="K5">
        <v>19</v>
      </c>
      <c r="L5">
        <v>17</v>
      </c>
      <c r="M5">
        <v>21</v>
      </c>
      <c r="N5">
        <v>18.5</v>
      </c>
      <c r="O5">
        <v>3</v>
      </c>
      <c r="P5">
        <v>239</v>
      </c>
      <c r="Q5">
        <v>160</v>
      </c>
      <c r="R5">
        <v>151</v>
      </c>
      <c r="S5">
        <v>154</v>
      </c>
      <c r="T5">
        <v>239</v>
      </c>
      <c r="X5">
        <v>30</v>
      </c>
      <c r="Y5">
        <v>30</v>
      </c>
      <c r="AA5">
        <v>20</v>
      </c>
      <c r="AB5">
        <f t="shared" si="1"/>
        <v>259</v>
      </c>
      <c r="AC5" t="s">
        <v>28</v>
      </c>
    </row>
    <row r="6" spans="1:29">
      <c r="A6" t="s">
        <v>33</v>
      </c>
      <c r="B6">
        <v>609983</v>
      </c>
      <c r="C6" t="s">
        <v>34</v>
      </c>
      <c r="D6">
        <v>11979</v>
      </c>
      <c r="E6">
        <v>74</v>
      </c>
      <c r="F6">
        <v>80</v>
      </c>
      <c r="G6">
        <v>19</v>
      </c>
      <c r="H6">
        <v>16</v>
      </c>
      <c r="I6">
        <v>20</v>
      </c>
      <c r="J6">
        <v>19</v>
      </c>
      <c r="K6">
        <v>23</v>
      </c>
      <c r="L6">
        <v>20</v>
      </c>
      <c r="M6">
        <v>22</v>
      </c>
      <c r="N6">
        <v>25.5</v>
      </c>
      <c r="O6">
        <v>3</v>
      </c>
      <c r="P6">
        <v>241.5</v>
      </c>
      <c r="Q6">
        <v>160</v>
      </c>
      <c r="R6">
        <v>164.5</v>
      </c>
      <c r="S6">
        <v>163</v>
      </c>
      <c r="T6">
        <v>237</v>
      </c>
      <c r="U6">
        <v>4.5</v>
      </c>
      <c r="W6">
        <v>8</v>
      </c>
      <c r="X6">
        <v>12</v>
      </c>
      <c r="Y6">
        <v>24.5</v>
      </c>
      <c r="AA6">
        <f t="shared" si="0"/>
        <v>20</v>
      </c>
      <c r="AB6">
        <f t="shared" si="1"/>
        <v>257</v>
      </c>
      <c r="AC6" t="s">
        <v>28</v>
      </c>
    </row>
    <row r="7" spans="1:29">
      <c r="A7" t="s">
        <v>35</v>
      </c>
      <c r="B7">
        <v>251724</v>
      </c>
      <c r="C7" t="s">
        <v>36</v>
      </c>
      <c r="D7">
        <v>11979</v>
      </c>
      <c r="E7">
        <v>88</v>
      </c>
      <c r="F7">
        <v>80</v>
      </c>
      <c r="G7">
        <v>18</v>
      </c>
      <c r="H7">
        <v>16</v>
      </c>
      <c r="I7">
        <v>20</v>
      </c>
      <c r="J7">
        <v>23</v>
      </c>
      <c r="K7">
        <v>22</v>
      </c>
      <c r="L7">
        <v>18.5</v>
      </c>
      <c r="M7">
        <v>22</v>
      </c>
      <c r="N7">
        <v>27.5</v>
      </c>
      <c r="O7">
        <v>3</v>
      </c>
      <c r="P7">
        <v>258</v>
      </c>
      <c r="Q7">
        <v>160</v>
      </c>
      <c r="R7">
        <v>167</v>
      </c>
      <c r="S7">
        <v>163</v>
      </c>
      <c r="T7">
        <v>251</v>
      </c>
      <c r="U7">
        <v>7</v>
      </c>
      <c r="X7">
        <v>16</v>
      </c>
      <c r="Y7">
        <v>23</v>
      </c>
      <c r="AA7">
        <f t="shared" si="0"/>
        <v>16</v>
      </c>
      <c r="AB7">
        <f t="shared" si="1"/>
        <v>267</v>
      </c>
      <c r="AC7" t="s">
        <v>37</v>
      </c>
    </row>
    <row r="8" spans="1:29">
      <c r="A8" t="s">
        <v>38</v>
      </c>
      <c r="B8">
        <v>892901</v>
      </c>
      <c r="C8" t="s">
        <v>39</v>
      </c>
      <c r="D8">
        <v>11979</v>
      </c>
      <c r="E8">
        <v>104</v>
      </c>
      <c r="F8">
        <v>80</v>
      </c>
      <c r="G8">
        <v>22</v>
      </c>
      <c r="H8">
        <v>23</v>
      </c>
      <c r="I8">
        <v>21</v>
      </c>
      <c r="J8">
        <v>24</v>
      </c>
      <c r="K8">
        <v>25</v>
      </c>
      <c r="L8">
        <v>23</v>
      </c>
      <c r="M8">
        <v>25</v>
      </c>
      <c r="N8">
        <v>31</v>
      </c>
      <c r="O8">
        <v>3</v>
      </c>
      <c r="P8">
        <v>301</v>
      </c>
      <c r="Q8">
        <v>160</v>
      </c>
      <c r="R8">
        <v>194</v>
      </c>
      <c r="S8">
        <v>163</v>
      </c>
      <c r="T8">
        <v>267</v>
      </c>
      <c r="U8">
        <v>34</v>
      </c>
      <c r="V8">
        <v>12</v>
      </c>
      <c r="X8">
        <v>32</v>
      </c>
      <c r="Y8">
        <v>78</v>
      </c>
      <c r="AA8">
        <v>20</v>
      </c>
      <c r="AB8">
        <f t="shared" si="1"/>
        <v>287</v>
      </c>
      <c r="AC8" t="s">
        <v>37</v>
      </c>
    </row>
    <row r="9" spans="1:29">
      <c r="A9" t="s">
        <v>40</v>
      </c>
      <c r="B9">
        <v>445604</v>
      </c>
      <c r="C9" t="s">
        <v>41</v>
      </c>
      <c r="D9">
        <v>11979</v>
      </c>
      <c r="E9">
        <v>86</v>
      </c>
      <c r="F9">
        <v>80</v>
      </c>
      <c r="G9">
        <v>0</v>
      </c>
      <c r="H9">
        <v>15</v>
      </c>
      <c r="I9">
        <v>20</v>
      </c>
      <c r="J9">
        <v>15.5</v>
      </c>
      <c r="K9">
        <v>19</v>
      </c>
      <c r="L9">
        <v>20</v>
      </c>
      <c r="M9">
        <v>20</v>
      </c>
      <c r="N9">
        <v>9</v>
      </c>
      <c r="O9">
        <v>3</v>
      </c>
      <c r="P9">
        <v>207.5</v>
      </c>
      <c r="Q9">
        <v>160</v>
      </c>
      <c r="R9">
        <v>118.5</v>
      </c>
      <c r="S9">
        <v>121.5</v>
      </c>
      <c r="T9">
        <v>207.5</v>
      </c>
      <c r="V9">
        <v>10</v>
      </c>
      <c r="X9">
        <v>3</v>
      </c>
      <c r="Y9">
        <v>13</v>
      </c>
      <c r="AA9">
        <f t="shared" si="0"/>
        <v>13</v>
      </c>
      <c r="AB9">
        <f t="shared" si="1"/>
        <v>220.5</v>
      </c>
      <c r="AC9" t="s">
        <v>42</v>
      </c>
    </row>
    <row r="10" spans="1:29">
      <c r="A10" t="s">
        <v>43</v>
      </c>
      <c r="B10">
        <v>775002</v>
      </c>
      <c r="C10" t="s">
        <v>44</v>
      </c>
      <c r="D10">
        <v>11979</v>
      </c>
      <c r="E10">
        <v>86</v>
      </c>
      <c r="F10">
        <v>80</v>
      </c>
      <c r="G10">
        <v>12</v>
      </c>
      <c r="H10">
        <v>18</v>
      </c>
      <c r="I10">
        <v>21</v>
      </c>
      <c r="J10">
        <v>21</v>
      </c>
      <c r="K10">
        <v>20</v>
      </c>
      <c r="L10">
        <v>19</v>
      </c>
      <c r="M10">
        <v>18</v>
      </c>
      <c r="N10">
        <v>21</v>
      </c>
      <c r="O10">
        <v>3</v>
      </c>
      <c r="P10">
        <v>239</v>
      </c>
      <c r="Q10">
        <v>160</v>
      </c>
      <c r="R10">
        <v>150</v>
      </c>
      <c r="S10">
        <v>153</v>
      </c>
      <c r="T10">
        <v>239</v>
      </c>
      <c r="X10">
        <v>24</v>
      </c>
      <c r="Y10">
        <v>24</v>
      </c>
      <c r="AA10">
        <v>20</v>
      </c>
      <c r="AB10">
        <f t="shared" si="1"/>
        <v>259</v>
      </c>
      <c r="AC10" t="s">
        <v>28</v>
      </c>
    </row>
    <row r="11" spans="1:29">
      <c r="A11" t="s">
        <v>45</v>
      </c>
      <c r="B11">
        <v>697391</v>
      </c>
      <c r="C11" t="s">
        <v>46</v>
      </c>
      <c r="D11">
        <v>11979</v>
      </c>
      <c r="E11">
        <v>87</v>
      </c>
      <c r="F11">
        <v>80</v>
      </c>
      <c r="G11">
        <v>20</v>
      </c>
      <c r="H11">
        <v>20</v>
      </c>
      <c r="I11">
        <v>20</v>
      </c>
      <c r="J11">
        <v>18.5</v>
      </c>
      <c r="K11">
        <v>19</v>
      </c>
      <c r="L11">
        <v>19.5</v>
      </c>
      <c r="M11">
        <v>19</v>
      </c>
      <c r="N11">
        <v>16</v>
      </c>
      <c r="O11">
        <v>3</v>
      </c>
      <c r="P11">
        <v>242</v>
      </c>
      <c r="Q11">
        <v>160</v>
      </c>
      <c r="R11">
        <v>152</v>
      </c>
      <c r="S11">
        <v>155</v>
      </c>
      <c r="T11">
        <v>242</v>
      </c>
      <c r="W11">
        <v>8</v>
      </c>
      <c r="X11">
        <v>25</v>
      </c>
      <c r="Y11">
        <v>33</v>
      </c>
      <c r="AA11">
        <v>20</v>
      </c>
      <c r="AB11">
        <f t="shared" si="1"/>
        <v>262</v>
      </c>
      <c r="AC11" t="s">
        <v>37</v>
      </c>
    </row>
    <row r="12" spans="1:29">
      <c r="A12" t="s">
        <v>47</v>
      </c>
      <c r="B12">
        <v>693469</v>
      </c>
      <c r="C12" t="s">
        <v>48</v>
      </c>
      <c r="D12">
        <v>11979</v>
      </c>
      <c r="E12">
        <v>71</v>
      </c>
      <c r="F12">
        <v>80</v>
      </c>
      <c r="G12">
        <v>20</v>
      </c>
      <c r="H12">
        <v>11</v>
      </c>
      <c r="I12">
        <v>20</v>
      </c>
      <c r="J12">
        <v>17</v>
      </c>
      <c r="K12">
        <v>19</v>
      </c>
      <c r="L12">
        <v>12</v>
      </c>
      <c r="M12">
        <v>16.75</v>
      </c>
      <c r="N12">
        <v>20</v>
      </c>
      <c r="O12">
        <v>0</v>
      </c>
      <c r="P12">
        <v>206.75</v>
      </c>
      <c r="Q12">
        <v>160</v>
      </c>
      <c r="R12">
        <v>135.75</v>
      </c>
      <c r="S12">
        <v>135.75</v>
      </c>
      <c r="T12">
        <v>206.75</v>
      </c>
      <c r="W12">
        <v>6</v>
      </c>
      <c r="X12">
        <v>23</v>
      </c>
      <c r="Y12">
        <v>29</v>
      </c>
      <c r="AA12">
        <v>20</v>
      </c>
      <c r="AB12">
        <f t="shared" si="1"/>
        <v>226.75</v>
      </c>
      <c r="AC12" t="s">
        <v>49</v>
      </c>
    </row>
    <row r="13" spans="1:29">
      <c r="A13" t="s">
        <v>50</v>
      </c>
      <c r="B13">
        <v>534475</v>
      </c>
      <c r="C13" t="s">
        <v>51</v>
      </c>
      <c r="D13">
        <v>11979</v>
      </c>
      <c r="E13">
        <v>53</v>
      </c>
      <c r="F13">
        <v>80</v>
      </c>
      <c r="G13">
        <v>20</v>
      </c>
      <c r="H13">
        <v>18</v>
      </c>
      <c r="I13">
        <v>20</v>
      </c>
      <c r="J13">
        <v>20.5</v>
      </c>
      <c r="K13">
        <v>20</v>
      </c>
      <c r="L13">
        <v>19.5</v>
      </c>
      <c r="M13">
        <v>20.25</v>
      </c>
      <c r="N13">
        <v>12.5</v>
      </c>
      <c r="O13">
        <v>3</v>
      </c>
      <c r="P13">
        <v>206.75</v>
      </c>
      <c r="Q13">
        <v>160</v>
      </c>
      <c r="R13">
        <v>150.75</v>
      </c>
      <c r="S13">
        <v>153.75</v>
      </c>
      <c r="T13">
        <v>206.75</v>
      </c>
      <c r="X13">
        <v>11</v>
      </c>
      <c r="Y13">
        <v>11</v>
      </c>
      <c r="AA13">
        <f t="shared" si="0"/>
        <v>11</v>
      </c>
      <c r="AB13">
        <f t="shared" si="1"/>
        <v>217.75</v>
      </c>
      <c r="AC13" t="s">
        <v>42</v>
      </c>
    </row>
    <row r="14" spans="1:29">
      <c r="A14" t="s">
        <v>52</v>
      </c>
      <c r="B14">
        <v>693487</v>
      </c>
      <c r="C14" t="s">
        <v>53</v>
      </c>
      <c r="D14">
        <v>11979</v>
      </c>
      <c r="E14">
        <v>77</v>
      </c>
      <c r="F14">
        <v>80</v>
      </c>
      <c r="G14">
        <v>20</v>
      </c>
      <c r="H14">
        <v>18</v>
      </c>
      <c r="I14">
        <v>20</v>
      </c>
      <c r="J14">
        <v>19.5</v>
      </c>
      <c r="K14">
        <v>21</v>
      </c>
      <c r="L14">
        <v>20</v>
      </c>
      <c r="M14">
        <v>25</v>
      </c>
      <c r="N14">
        <v>21.5</v>
      </c>
      <c r="O14">
        <v>3</v>
      </c>
      <c r="P14">
        <v>245</v>
      </c>
      <c r="Q14">
        <v>160</v>
      </c>
      <c r="R14">
        <v>165</v>
      </c>
      <c r="S14">
        <v>163</v>
      </c>
      <c r="T14">
        <v>240</v>
      </c>
      <c r="U14">
        <v>5</v>
      </c>
      <c r="X14">
        <v>18</v>
      </c>
      <c r="Y14">
        <v>23</v>
      </c>
      <c r="AA14">
        <f t="shared" si="0"/>
        <v>18</v>
      </c>
      <c r="AB14">
        <f t="shared" si="1"/>
        <v>258</v>
      </c>
      <c r="AC14" t="s">
        <v>28</v>
      </c>
    </row>
    <row r="15" spans="1:29">
      <c r="A15" t="s">
        <v>54</v>
      </c>
      <c r="B15">
        <v>696809</v>
      </c>
      <c r="C15" t="s">
        <v>55</v>
      </c>
      <c r="D15">
        <v>11979</v>
      </c>
      <c r="E15">
        <v>94</v>
      </c>
      <c r="F15">
        <v>80</v>
      </c>
      <c r="G15">
        <v>20</v>
      </c>
      <c r="H15">
        <v>23</v>
      </c>
      <c r="I15">
        <v>20</v>
      </c>
      <c r="J15">
        <v>23</v>
      </c>
      <c r="K15">
        <v>24</v>
      </c>
      <c r="L15">
        <v>22</v>
      </c>
      <c r="M15">
        <v>26</v>
      </c>
      <c r="N15">
        <v>30</v>
      </c>
      <c r="O15">
        <v>3</v>
      </c>
      <c r="P15">
        <v>285</v>
      </c>
      <c r="Q15">
        <v>160</v>
      </c>
      <c r="R15">
        <v>188</v>
      </c>
      <c r="S15">
        <v>163</v>
      </c>
      <c r="T15">
        <v>257</v>
      </c>
      <c r="U15">
        <v>28</v>
      </c>
      <c r="X15">
        <v>26</v>
      </c>
      <c r="Y15">
        <v>54</v>
      </c>
      <c r="AA15">
        <v>20</v>
      </c>
      <c r="AB15">
        <f t="shared" si="1"/>
        <v>277</v>
      </c>
      <c r="AC15" t="s">
        <v>37</v>
      </c>
    </row>
    <row r="16" spans="1:29">
      <c r="A16" t="s">
        <v>56</v>
      </c>
      <c r="B16">
        <v>767311</v>
      </c>
      <c r="C16" t="s">
        <v>57</v>
      </c>
      <c r="D16">
        <v>11979</v>
      </c>
      <c r="E16">
        <v>104</v>
      </c>
      <c r="F16">
        <v>80</v>
      </c>
      <c r="G16">
        <v>20</v>
      </c>
      <c r="H16">
        <v>20</v>
      </c>
      <c r="I16">
        <v>19</v>
      </c>
      <c r="J16">
        <v>20</v>
      </c>
      <c r="K16">
        <v>21</v>
      </c>
      <c r="L16">
        <v>21</v>
      </c>
      <c r="M16">
        <v>19</v>
      </c>
      <c r="N16">
        <v>19.5</v>
      </c>
      <c r="O16">
        <v>3</v>
      </c>
      <c r="P16">
        <v>266.5</v>
      </c>
      <c r="Q16">
        <v>160</v>
      </c>
      <c r="R16">
        <v>159.5</v>
      </c>
      <c r="S16">
        <v>162.5</v>
      </c>
      <c r="T16">
        <v>266.5</v>
      </c>
      <c r="X16">
        <v>30</v>
      </c>
      <c r="Y16">
        <v>30</v>
      </c>
      <c r="AA16">
        <v>20</v>
      </c>
      <c r="AB16">
        <f t="shared" si="1"/>
        <v>286.5</v>
      </c>
      <c r="AC16" t="s">
        <v>37</v>
      </c>
    </row>
    <row r="17" spans="1:29">
      <c r="A17" t="s">
        <v>58</v>
      </c>
      <c r="B17">
        <v>863717</v>
      </c>
      <c r="C17" t="s">
        <v>59</v>
      </c>
      <c r="D17">
        <v>11979</v>
      </c>
      <c r="E17">
        <v>78</v>
      </c>
      <c r="F17">
        <v>80</v>
      </c>
      <c r="G17">
        <v>21</v>
      </c>
      <c r="H17">
        <v>17</v>
      </c>
      <c r="I17">
        <v>21</v>
      </c>
      <c r="J17">
        <v>19</v>
      </c>
      <c r="K17">
        <v>19</v>
      </c>
      <c r="L17">
        <v>19</v>
      </c>
      <c r="M17">
        <v>21</v>
      </c>
      <c r="N17">
        <v>19</v>
      </c>
      <c r="O17">
        <v>3</v>
      </c>
      <c r="P17">
        <v>237</v>
      </c>
      <c r="Q17">
        <v>160</v>
      </c>
      <c r="R17">
        <v>156</v>
      </c>
      <c r="S17">
        <v>159</v>
      </c>
      <c r="T17">
        <v>237</v>
      </c>
      <c r="X17">
        <v>30</v>
      </c>
      <c r="Y17">
        <v>30</v>
      </c>
      <c r="AA17">
        <v>20</v>
      </c>
      <c r="AB17">
        <f t="shared" si="1"/>
        <v>257</v>
      </c>
      <c r="AC17" t="s">
        <v>28</v>
      </c>
    </row>
    <row r="18" spans="1:29">
      <c r="A18" t="s">
        <v>60</v>
      </c>
      <c r="B18">
        <v>730057</v>
      </c>
      <c r="C18" t="s">
        <v>61</v>
      </c>
      <c r="D18">
        <v>11979</v>
      </c>
      <c r="E18">
        <v>71</v>
      </c>
      <c r="F18">
        <v>80</v>
      </c>
      <c r="G18">
        <v>17</v>
      </c>
      <c r="H18">
        <v>17</v>
      </c>
      <c r="I18">
        <v>20</v>
      </c>
      <c r="J18">
        <v>20</v>
      </c>
      <c r="K18">
        <v>21</v>
      </c>
      <c r="L18">
        <v>19</v>
      </c>
      <c r="M18">
        <v>20</v>
      </c>
      <c r="N18">
        <v>22</v>
      </c>
      <c r="O18">
        <v>3</v>
      </c>
      <c r="P18">
        <v>230</v>
      </c>
      <c r="Q18">
        <v>160</v>
      </c>
      <c r="R18">
        <v>156</v>
      </c>
      <c r="S18">
        <v>159</v>
      </c>
      <c r="T18">
        <v>230</v>
      </c>
      <c r="V18">
        <v>12</v>
      </c>
      <c r="X18">
        <v>23</v>
      </c>
      <c r="Y18">
        <v>35</v>
      </c>
      <c r="AA18">
        <v>20</v>
      </c>
      <c r="AB18">
        <f t="shared" si="1"/>
        <v>250</v>
      </c>
      <c r="AC18" t="s">
        <v>28</v>
      </c>
    </row>
    <row r="19" spans="1:29">
      <c r="A19" t="s">
        <v>62</v>
      </c>
      <c r="B19">
        <v>736437</v>
      </c>
      <c r="C19" t="s">
        <v>63</v>
      </c>
      <c r="D19">
        <v>11979</v>
      </c>
      <c r="E19">
        <v>88</v>
      </c>
      <c r="F19">
        <v>80</v>
      </c>
      <c r="G19">
        <v>20</v>
      </c>
      <c r="H19">
        <v>17</v>
      </c>
      <c r="I19">
        <v>20</v>
      </c>
      <c r="J19">
        <v>21</v>
      </c>
      <c r="K19">
        <v>22</v>
      </c>
      <c r="L19">
        <v>19</v>
      </c>
      <c r="M19">
        <v>25</v>
      </c>
      <c r="N19">
        <v>17.5</v>
      </c>
      <c r="O19">
        <v>3</v>
      </c>
      <c r="P19">
        <v>252.5</v>
      </c>
      <c r="Q19">
        <v>160</v>
      </c>
      <c r="R19">
        <v>161.5</v>
      </c>
      <c r="S19">
        <v>163</v>
      </c>
      <c r="T19">
        <v>251</v>
      </c>
      <c r="U19">
        <v>1.5</v>
      </c>
      <c r="X19">
        <v>22</v>
      </c>
      <c r="Y19">
        <v>23.5</v>
      </c>
      <c r="AA19">
        <v>20</v>
      </c>
      <c r="AB19">
        <f t="shared" si="1"/>
        <v>271</v>
      </c>
      <c r="AC19" t="s">
        <v>37</v>
      </c>
    </row>
    <row r="20" spans="1:29">
      <c r="A20" t="s">
        <v>64</v>
      </c>
      <c r="B20">
        <v>981214</v>
      </c>
      <c r="C20" t="s">
        <v>65</v>
      </c>
      <c r="D20">
        <v>11979</v>
      </c>
      <c r="E20">
        <v>72</v>
      </c>
      <c r="F20">
        <v>80</v>
      </c>
      <c r="G20">
        <v>21</v>
      </c>
      <c r="H20">
        <v>18</v>
      </c>
      <c r="I20">
        <v>20</v>
      </c>
      <c r="J20">
        <v>17</v>
      </c>
      <c r="K20">
        <v>20</v>
      </c>
      <c r="L20">
        <v>19.5</v>
      </c>
      <c r="M20">
        <v>19.25</v>
      </c>
      <c r="N20">
        <v>16.5</v>
      </c>
      <c r="O20">
        <v>3</v>
      </c>
      <c r="P20">
        <v>226.25</v>
      </c>
      <c r="Q20">
        <v>160</v>
      </c>
      <c r="R20">
        <v>151.25</v>
      </c>
      <c r="S20">
        <v>154.25</v>
      </c>
      <c r="T20">
        <v>226.25</v>
      </c>
      <c r="X20">
        <v>24</v>
      </c>
      <c r="Y20">
        <v>24</v>
      </c>
      <c r="AA20">
        <v>20</v>
      </c>
      <c r="AB20">
        <f t="shared" si="1"/>
        <v>246.25</v>
      </c>
      <c r="AC20" t="s">
        <v>28</v>
      </c>
    </row>
    <row r="21" spans="1:29">
      <c r="A21" t="s">
        <v>66</v>
      </c>
      <c r="B21">
        <v>749561</v>
      </c>
      <c r="C21" t="s">
        <v>67</v>
      </c>
      <c r="D21">
        <v>11979</v>
      </c>
      <c r="E21">
        <v>100</v>
      </c>
      <c r="F21">
        <v>80</v>
      </c>
      <c r="G21">
        <v>21</v>
      </c>
      <c r="H21">
        <v>20</v>
      </c>
      <c r="I21">
        <v>20</v>
      </c>
      <c r="J21">
        <v>19.5</v>
      </c>
      <c r="K21">
        <v>17.75</v>
      </c>
      <c r="L21">
        <v>0</v>
      </c>
      <c r="M21">
        <v>0</v>
      </c>
      <c r="N21">
        <v>0</v>
      </c>
      <c r="O21">
        <v>3</v>
      </c>
      <c r="P21">
        <v>201.25</v>
      </c>
      <c r="Q21">
        <v>160</v>
      </c>
      <c r="R21">
        <v>98.25</v>
      </c>
      <c r="S21">
        <v>101.25</v>
      </c>
      <c r="T21">
        <v>201.25</v>
      </c>
      <c r="V21">
        <v>12</v>
      </c>
      <c r="X21">
        <v>16</v>
      </c>
      <c r="Y21">
        <v>28</v>
      </c>
      <c r="AA21">
        <v>20</v>
      </c>
      <c r="AB21">
        <f t="shared" si="1"/>
        <v>221.25</v>
      </c>
      <c r="AC21" t="s">
        <v>49</v>
      </c>
    </row>
    <row r="22" spans="1:29">
      <c r="A22" t="s">
        <v>68</v>
      </c>
      <c r="B22">
        <v>362166</v>
      </c>
      <c r="C22" t="s">
        <v>69</v>
      </c>
      <c r="D22">
        <v>11979</v>
      </c>
      <c r="E22">
        <v>65</v>
      </c>
      <c r="F22">
        <v>80</v>
      </c>
      <c r="G22">
        <v>20</v>
      </c>
      <c r="H22">
        <v>16</v>
      </c>
      <c r="I22">
        <v>20</v>
      </c>
      <c r="J22">
        <v>0</v>
      </c>
      <c r="K22">
        <v>19</v>
      </c>
      <c r="L22">
        <v>0</v>
      </c>
      <c r="M22">
        <v>15.25</v>
      </c>
      <c r="N22">
        <v>0</v>
      </c>
      <c r="O22">
        <v>0</v>
      </c>
      <c r="P22">
        <v>155.25</v>
      </c>
      <c r="Q22">
        <v>160</v>
      </c>
      <c r="R22">
        <v>90.25</v>
      </c>
      <c r="S22">
        <v>90.25</v>
      </c>
      <c r="T22">
        <v>155.25</v>
      </c>
      <c r="V22">
        <v>0</v>
      </c>
      <c r="X22">
        <v>21</v>
      </c>
      <c r="Y22">
        <v>21</v>
      </c>
      <c r="AA22">
        <v>20</v>
      </c>
      <c r="AB22">
        <f t="shared" si="1"/>
        <v>175.25</v>
      </c>
      <c r="AC22" t="s">
        <v>70</v>
      </c>
    </row>
    <row r="23" spans="1:29">
      <c r="A23" t="s">
        <v>71</v>
      </c>
      <c r="B23">
        <v>715074</v>
      </c>
      <c r="C23" t="s">
        <v>72</v>
      </c>
      <c r="D23">
        <v>11979</v>
      </c>
      <c r="E23">
        <v>81</v>
      </c>
      <c r="F23">
        <v>80</v>
      </c>
      <c r="G23">
        <v>20</v>
      </c>
      <c r="H23">
        <v>20</v>
      </c>
      <c r="I23">
        <v>20</v>
      </c>
      <c r="J23">
        <v>19.5</v>
      </c>
      <c r="K23">
        <v>20</v>
      </c>
      <c r="L23">
        <v>21</v>
      </c>
      <c r="M23">
        <v>21.5</v>
      </c>
      <c r="N23">
        <v>22</v>
      </c>
      <c r="O23">
        <v>3</v>
      </c>
      <c r="P23">
        <v>248</v>
      </c>
      <c r="Q23">
        <v>160</v>
      </c>
      <c r="R23">
        <v>164</v>
      </c>
      <c r="S23">
        <v>163</v>
      </c>
      <c r="T23">
        <v>244</v>
      </c>
      <c r="U23">
        <v>4</v>
      </c>
      <c r="V23">
        <v>10</v>
      </c>
      <c r="X23">
        <v>24</v>
      </c>
      <c r="Y23">
        <v>38</v>
      </c>
      <c r="AA23">
        <v>20</v>
      </c>
      <c r="AB23">
        <f t="shared" si="1"/>
        <v>264</v>
      </c>
      <c r="AC23" t="s">
        <v>37</v>
      </c>
    </row>
    <row r="24" spans="1:29">
      <c r="A24" t="s">
        <v>73</v>
      </c>
      <c r="B24">
        <v>694851</v>
      </c>
      <c r="C24" t="s">
        <v>74</v>
      </c>
      <c r="D24">
        <v>11979</v>
      </c>
      <c r="E24">
        <v>95</v>
      </c>
      <c r="F24">
        <v>80</v>
      </c>
      <c r="G24">
        <v>21</v>
      </c>
      <c r="H24">
        <v>22</v>
      </c>
      <c r="I24">
        <v>20</v>
      </c>
      <c r="J24">
        <v>21</v>
      </c>
      <c r="K24">
        <v>24</v>
      </c>
      <c r="L24">
        <v>20.5</v>
      </c>
      <c r="M24">
        <v>25</v>
      </c>
      <c r="N24">
        <v>25.5</v>
      </c>
      <c r="O24">
        <v>3</v>
      </c>
      <c r="P24">
        <v>277</v>
      </c>
      <c r="Q24">
        <v>160</v>
      </c>
      <c r="R24">
        <v>179</v>
      </c>
      <c r="S24">
        <v>163</v>
      </c>
      <c r="T24">
        <v>258</v>
      </c>
      <c r="U24">
        <v>19</v>
      </c>
      <c r="X24">
        <v>31</v>
      </c>
      <c r="Y24">
        <v>50</v>
      </c>
      <c r="AA24">
        <v>20</v>
      </c>
      <c r="AB24">
        <f t="shared" si="1"/>
        <v>278</v>
      </c>
      <c r="AC24" t="s">
        <v>37</v>
      </c>
    </row>
    <row r="25" spans="1:29">
      <c r="A25" t="s">
        <v>75</v>
      </c>
      <c r="B25">
        <v>906728</v>
      </c>
      <c r="C25" t="s">
        <v>76</v>
      </c>
      <c r="D25">
        <v>11979</v>
      </c>
      <c r="E25">
        <v>103</v>
      </c>
      <c r="F25">
        <v>80</v>
      </c>
      <c r="G25">
        <v>21</v>
      </c>
      <c r="H25">
        <v>16.5</v>
      </c>
      <c r="I25">
        <v>20</v>
      </c>
      <c r="J25">
        <v>22</v>
      </c>
      <c r="K25">
        <v>24</v>
      </c>
      <c r="L25">
        <v>19</v>
      </c>
      <c r="M25">
        <v>23</v>
      </c>
      <c r="N25">
        <v>20</v>
      </c>
      <c r="O25">
        <v>3</v>
      </c>
      <c r="P25">
        <v>271.5</v>
      </c>
      <c r="Q25">
        <v>160</v>
      </c>
      <c r="R25">
        <v>165.5</v>
      </c>
      <c r="S25">
        <v>163</v>
      </c>
      <c r="T25">
        <v>266</v>
      </c>
      <c r="U25">
        <v>5.5</v>
      </c>
      <c r="V25">
        <v>10</v>
      </c>
      <c r="X25">
        <v>34</v>
      </c>
      <c r="Y25">
        <v>49.5</v>
      </c>
      <c r="AA25">
        <v>20</v>
      </c>
      <c r="AB25">
        <f t="shared" si="1"/>
        <v>286</v>
      </c>
      <c r="AC25" t="s">
        <v>37</v>
      </c>
    </row>
    <row r="26" spans="1:29">
      <c r="A26" t="s">
        <v>77</v>
      </c>
      <c r="B26">
        <v>766541</v>
      </c>
      <c r="C26" t="s">
        <v>78</v>
      </c>
      <c r="D26">
        <v>11979</v>
      </c>
      <c r="E26">
        <v>88</v>
      </c>
      <c r="F26">
        <v>80</v>
      </c>
      <c r="G26">
        <v>20</v>
      </c>
      <c r="H26">
        <v>15.5</v>
      </c>
      <c r="I26">
        <v>20</v>
      </c>
      <c r="J26">
        <v>20.5</v>
      </c>
      <c r="K26">
        <v>20</v>
      </c>
      <c r="L26">
        <v>21.5</v>
      </c>
      <c r="M26">
        <v>24</v>
      </c>
      <c r="N26">
        <v>19.5</v>
      </c>
      <c r="O26">
        <v>3</v>
      </c>
      <c r="P26">
        <v>252</v>
      </c>
      <c r="Q26">
        <v>160</v>
      </c>
      <c r="R26">
        <v>161</v>
      </c>
      <c r="S26">
        <v>163</v>
      </c>
      <c r="T26">
        <v>251</v>
      </c>
      <c r="U26">
        <v>1</v>
      </c>
      <c r="X26">
        <v>13</v>
      </c>
      <c r="Y26">
        <v>14</v>
      </c>
      <c r="AA26">
        <f t="shared" si="0"/>
        <v>13</v>
      </c>
      <c r="AB26">
        <f t="shared" si="1"/>
        <v>264</v>
      </c>
      <c r="AC26" t="s">
        <v>37</v>
      </c>
    </row>
    <row r="27" spans="1:29">
      <c r="A27" t="s">
        <v>79</v>
      </c>
      <c r="B27">
        <v>766897</v>
      </c>
      <c r="C27" t="s">
        <v>80</v>
      </c>
      <c r="D27">
        <v>11979</v>
      </c>
      <c r="E27">
        <v>82</v>
      </c>
      <c r="F27">
        <v>80</v>
      </c>
      <c r="G27">
        <v>19</v>
      </c>
      <c r="H27">
        <v>13</v>
      </c>
      <c r="I27">
        <v>20</v>
      </c>
      <c r="J27">
        <v>22.5</v>
      </c>
      <c r="K27">
        <v>22</v>
      </c>
      <c r="L27">
        <v>21</v>
      </c>
      <c r="M27">
        <v>22</v>
      </c>
      <c r="N27">
        <v>27.5</v>
      </c>
      <c r="O27">
        <v>3</v>
      </c>
      <c r="P27">
        <v>252</v>
      </c>
      <c r="Q27">
        <v>160</v>
      </c>
      <c r="R27">
        <v>167</v>
      </c>
      <c r="S27">
        <v>163</v>
      </c>
      <c r="T27">
        <v>245</v>
      </c>
      <c r="U27">
        <v>7</v>
      </c>
      <c r="V27">
        <v>12</v>
      </c>
      <c r="X27">
        <v>18</v>
      </c>
      <c r="Y27">
        <v>37</v>
      </c>
      <c r="AA27">
        <v>20</v>
      </c>
      <c r="AB27">
        <f t="shared" si="1"/>
        <v>265</v>
      </c>
      <c r="AC27" t="s">
        <v>37</v>
      </c>
    </row>
    <row r="28" spans="1:29">
      <c r="A28" t="s">
        <v>81</v>
      </c>
      <c r="B28">
        <v>783085</v>
      </c>
      <c r="C28" t="s">
        <v>82</v>
      </c>
      <c r="D28">
        <v>11979</v>
      </c>
      <c r="E28">
        <v>95</v>
      </c>
      <c r="F28">
        <v>80</v>
      </c>
      <c r="G28">
        <v>18</v>
      </c>
      <c r="H28">
        <v>16</v>
      </c>
      <c r="I28">
        <v>20</v>
      </c>
      <c r="J28">
        <v>19.5</v>
      </c>
      <c r="K28">
        <v>23</v>
      </c>
      <c r="L28">
        <v>20</v>
      </c>
      <c r="M28">
        <v>24</v>
      </c>
      <c r="N28">
        <v>11</v>
      </c>
      <c r="O28">
        <v>3</v>
      </c>
      <c r="P28">
        <v>249.5</v>
      </c>
      <c r="Q28">
        <v>160</v>
      </c>
      <c r="R28">
        <v>151.5</v>
      </c>
      <c r="S28">
        <v>154.5</v>
      </c>
      <c r="T28">
        <v>249.5</v>
      </c>
      <c r="X28">
        <v>17</v>
      </c>
      <c r="Y28">
        <v>17</v>
      </c>
      <c r="AA28">
        <f t="shared" si="0"/>
        <v>17</v>
      </c>
      <c r="AB28">
        <f t="shared" si="1"/>
        <v>266.5</v>
      </c>
      <c r="AC28" t="s">
        <v>37</v>
      </c>
    </row>
    <row r="29" spans="1:29">
      <c r="A29" t="s">
        <v>83</v>
      </c>
      <c r="B29">
        <v>941184</v>
      </c>
      <c r="C29" t="s">
        <v>84</v>
      </c>
      <c r="D29">
        <v>11979</v>
      </c>
      <c r="E29">
        <v>91</v>
      </c>
      <c r="F29">
        <v>80</v>
      </c>
      <c r="G29">
        <v>19</v>
      </c>
      <c r="H29">
        <v>16</v>
      </c>
      <c r="I29">
        <v>20</v>
      </c>
      <c r="J29">
        <v>0</v>
      </c>
      <c r="K29">
        <v>20</v>
      </c>
      <c r="L29">
        <v>20</v>
      </c>
      <c r="M29">
        <v>22</v>
      </c>
      <c r="N29">
        <v>24</v>
      </c>
      <c r="O29">
        <v>3</v>
      </c>
      <c r="P29">
        <v>235</v>
      </c>
      <c r="Q29">
        <v>160</v>
      </c>
      <c r="R29">
        <v>141</v>
      </c>
      <c r="S29">
        <v>144</v>
      </c>
      <c r="T29">
        <v>235</v>
      </c>
      <c r="X29">
        <v>22</v>
      </c>
      <c r="Y29">
        <v>22</v>
      </c>
      <c r="AA29">
        <v>20</v>
      </c>
      <c r="AB29">
        <f t="shared" si="1"/>
        <v>255</v>
      </c>
      <c r="AC29" t="s">
        <v>28</v>
      </c>
    </row>
    <row r="30" spans="1:29">
      <c r="A30" t="s">
        <v>85</v>
      </c>
      <c r="B30">
        <v>480954</v>
      </c>
      <c r="C30" t="s">
        <v>86</v>
      </c>
      <c r="D30">
        <v>11979</v>
      </c>
      <c r="E30">
        <v>66</v>
      </c>
      <c r="F30">
        <v>80</v>
      </c>
      <c r="G30">
        <v>20</v>
      </c>
      <c r="H30">
        <v>17.5</v>
      </c>
      <c r="I30">
        <v>20</v>
      </c>
      <c r="J30">
        <v>19</v>
      </c>
      <c r="K30">
        <v>19</v>
      </c>
      <c r="L30">
        <v>18.5</v>
      </c>
      <c r="M30">
        <v>13.5</v>
      </c>
      <c r="N30">
        <v>0</v>
      </c>
      <c r="O30">
        <v>3</v>
      </c>
      <c r="P30">
        <v>196.5</v>
      </c>
      <c r="Q30">
        <v>160</v>
      </c>
      <c r="R30">
        <v>127.5</v>
      </c>
      <c r="S30">
        <v>130.5</v>
      </c>
      <c r="T30">
        <v>196.5</v>
      </c>
      <c r="V30">
        <v>12</v>
      </c>
      <c r="W30">
        <v>8</v>
      </c>
      <c r="X30">
        <v>9</v>
      </c>
      <c r="Y30">
        <v>29</v>
      </c>
      <c r="AA30">
        <v>20</v>
      </c>
      <c r="AB30">
        <f t="shared" si="1"/>
        <v>216.5</v>
      </c>
      <c r="AC30" t="s">
        <v>42</v>
      </c>
    </row>
    <row r="31" spans="1:29">
      <c r="A31" t="s">
        <v>87</v>
      </c>
      <c r="B31">
        <v>489265</v>
      </c>
      <c r="C31" t="s">
        <v>88</v>
      </c>
      <c r="D31">
        <v>11979</v>
      </c>
      <c r="E31">
        <v>83</v>
      </c>
      <c r="F31">
        <v>80</v>
      </c>
      <c r="G31">
        <v>17</v>
      </c>
      <c r="H31">
        <v>17</v>
      </c>
      <c r="I31">
        <v>21</v>
      </c>
      <c r="J31">
        <v>21.5</v>
      </c>
      <c r="K31">
        <v>23</v>
      </c>
      <c r="L31">
        <v>20</v>
      </c>
      <c r="M31">
        <v>19.25</v>
      </c>
      <c r="N31">
        <v>21</v>
      </c>
      <c r="O31">
        <v>3</v>
      </c>
      <c r="P31">
        <v>245.75</v>
      </c>
      <c r="Q31">
        <v>160</v>
      </c>
      <c r="R31">
        <v>159.75</v>
      </c>
      <c r="S31">
        <v>162.75</v>
      </c>
      <c r="T31">
        <v>245.75</v>
      </c>
      <c r="X31">
        <v>31</v>
      </c>
      <c r="Y31">
        <v>31</v>
      </c>
      <c r="AA31">
        <v>20</v>
      </c>
      <c r="AB31">
        <f t="shared" si="1"/>
        <v>265.75</v>
      </c>
      <c r="AC31" t="s">
        <v>37</v>
      </c>
    </row>
    <row r="32" spans="1:29">
      <c r="A32" t="s">
        <v>89</v>
      </c>
      <c r="B32">
        <v>765261</v>
      </c>
      <c r="C32" t="s">
        <v>90</v>
      </c>
      <c r="D32">
        <v>11979</v>
      </c>
      <c r="E32">
        <v>91</v>
      </c>
      <c r="F32">
        <v>80</v>
      </c>
      <c r="G32">
        <v>20</v>
      </c>
      <c r="H32">
        <v>17</v>
      </c>
      <c r="I32">
        <v>20</v>
      </c>
      <c r="J32">
        <v>20.5</v>
      </c>
      <c r="K32">
        <v>21</v>
      </c>
      <c r="L32">
        <v>20</v>
      </c>
      <c r="M32">
        <v>17</v>
      </c>
      <c r="N32">
        <v>22.5</v>
      </c>
      <c r="O32">
        <v>3</v>
      </c>
      <c r="P32">
        <v>252</v>
      </c>
      <c r="Q32">
        <v>160</v>
      </c>
      <c r="R32">
        <v>158</v>
      </c>
      <c r="S32">
        <v>161</v>
      </c>
      <c r="T32">
        <v>252</v>
      </c>
      <c r="X32">
        <v>19</v>
      </c>
      <c r="Y32">
        <v>19</v>
      </c>
      <c r="AA32">
        <f t="shared" si="0"/>
        <v>19</v>
      </c>
      <c r="AB32">
        <f t="shared" si="1"/>
        <v>271</v>
      </c>
      <c r="AC32" t="s">
        <v>37</v>
      </c>
    </row>
    <row r="33" spans="1:29">
      <c r="A33" t="s">
        <v>91</v>
      </c>
      <c r="B33">
        <v>1186726</v>
      </c>
      <c r="C33" t="s">
        <v>92</v>
      </c>
      <c r="D33">
        <v>11979</v>
      </c>
      <c r="E33">
        <v>68</v>
      </c>
      <c r="F33">
        <v>80</v>
      </c>
      <c r="G33">
        <v>20</v>
      </c>
      <c r="H33">
        <v>15.5</v>
      </c>
      <c r="I33">
        <v>20</v>
      </c>
      <c r="J33">
        <v>17.5</v>
      </c>
      <c r="K33">
        <v>20</v>
      </c>
      <c r="L33">
        <v>20</v>
      </c>
      <c r="M33">
        <v>16.5</v>
      </c>
      <c r="N33">
        <v>14</v>
      </c>
      <c r="O33">
        <v>3</v>
      </c>
      <c r="P33">
        <v>214.5</v>
      </c>
      <c r="Q33">
        <v>160</v>
      </c>
      <c r="R33">
        <v>143.5</v>
      </c>
      <c r="S33">
        <v>146.5</v>
      </c>
      <c r="T33">
        <v>214.5</v>
      </c>
      <c r="V33">
        <v>10</v>
      </c>
      <c r="X33">
        <v>18</v>
      </c>
      <c r="Y33">
        <v>28</v>
      </c>
      <c r="AA33">
        <v>20</v>
      </c>
      <c r="AB33">
        <f t="shared" si="1"/>
        <v>234.5</v>
      </c>
      <c r="AC33" t="s">
        <v>49</v>
      </c>
    </row>
    <row r="34" spans="1:29">
      <c r="A34" t="s">
        <v>93</v>
      </c>
      <c r="B34">
        <v>377832</v>
      </c>
      <c r="C34" t="s">
        <v>94</v>
      </c>
      <c r="D34">
        <v>11979</v>
      </c>
      <c r="E34">
        <v>41</v>
      </c>
      <c r="F34">
        <v>80</v>
      </c>
      <c r="G34">
        <v>19</v>
      </c>
      <c r="H34">
        <v>15.5</v>
      </c>
      <c r="I34">
        <v>20</v>
      </c>
      <c r="J34">
        <v>20</v>
      </c>
      <c r="K34">
        <v>19</v>
      </c>
      <c r="L34">
        <v>19</v>
      </c>
      <c r="M34">
        <v>22</v>
      </c>
      <c r="N34">
        <v>27</v>
      </c>
      <c r="O34">
        <v>3</v>
      </c>
      <c r="P34">
        <v>205.5</v>
      </c>
      <c r="Q34">
        <v>160</v>
      </c>
      <c r="R34">
        <v>161.5</v>
      </c>
      <c r="S34">
        <v>163</v>
      </c>
      <c r="T34">
        <v>204</v>
      </c>
      <c r="U34">
        <v>1.5</v>
      </c>
      <c r="V34">
        <v>12</v>
      </c>
      <c r="W34">
        <v>8</v>
      </c>
      <c r="X34">
        <v>2</v>
      </c>
      <c r="Y34">
        <v>23.5</v>
      </c>
      <c r="AA34">
        <v>20</v>
      </c>
      <c r="AB34">
        <f t="shared" si="1"/>
        <v>224</v>
      </c>
      <c r="AC34" t="s">
        <v>42</v>
      </c>
    </row>
    <row r="35" spans="1:29">
      <c r="A35" t="s">
        <v>95</v>
      </c>
      <c r="B35">
        <v>706036</v>
      </c>
      <c r="C35" t="s">
        <v>96</v>
      </c>
      <c r="D35">
        <v>11979</v>
      </c>
      <c r="E35">
        <v>86</v>
      </c>
      <c r="F35">
        <v>80</v>
      </c>
      <c r="G35">
        <v>21</v>
      </c>
      <c r="H35">
        <v>20</v>
      </c>
      <c r="I35">
        <v>20</v>
      </c>
      <c r="J35">
        <v>19.5</v>
      </c>
      <c r="K35">
        <v>22</v>
      </c>
      <c r="L35">
        <v>18.5</v>
      </c>
      <c r="M35">
        <v>24</v>
      </c>
      <c r="N35">
        <v>24.5</v>
      </c>
      <c r="O35">
        <v>0</v>
      </c>
      <c r="P35">
        <v>255.5</v>
      </c>
      <c r="Q35">
        <v>160</v>
      </c>
      <c r="R35">
        <v>169.5</v>
      </c>
      <c r="S35">
        <v>160</v>
      </c>
      <c r="T35">
        <v>246</v>
      </c>
      <c r="U35">
        <v>9.5</v>
      </c>
      <c r="V35">
        <v>10</v>
      </c>
      <c r="X35">
        <v>26</v>
      </c>
      <c r="Y35">
        <v>45.5</v>
      </c>
      <c r="AA35">
        <v>20</v>
      </c>
      <c r="AB35">
        <f t="shared" si="1"/>
        <v>266</v>
      </c>
      <c r="AC35" t="s">
        <v>37</v>
      </c>
    </row>
    <row r="36" spans="1:29">
      <c r="A36" t="s">
        <v>97</v>
      </c>
      <c r="B36">
        <v>925981</v>
      </c>
      <c r="C36" t="s">
        <v>98</v>
      </c>
      <c r="D36">
        <v>11979</v>
      </c>
      <c r="E36">
        <v>75</v>
      </c>
      <c r="F36">
        <v>80</v>
      </c>
      <c r="G36">
        <v>20</v>
      </c>
      <c r="H36">
        <v>17.5</v>
      </c>
      <c r="I36">
        <v>13</v>
      </c>
      <c r="J36">
        <v>18</v>
      </c>
      <c r="K36">
        <v>20</v>
      </c>
      <c r="L36">
        <v>19.5</v>
      </c>
      <c r="M36">
        <v>25</v>
      </c>
      <c r="N36">
        <v>22</v>
      </c>
      <c r="O36">
        <v>3</v>
      </c>
      <c r="P36">
        <v>233</v>
      </c>
      <c r="Q36">
        <v>160</v>
      </c>
      <c r="R36">
        <v>155</v>
      </c>
      <c r="S36">
        <v>158</v>
      </c>
      <c r="T36">
        <v>233</v>
      </c>
      <c r="X36">
        <v>14</v>
      </c>
      <c r="Y36">
        <v>14</v>
      </c>
      <c r="AA36">
        <f t="shared" si="0"/>
        <v>14</v>
      </c>
      <c r="AB36">
        <f t="shared" si="1"/>
        <v>247</v>
      </c>
      <c r="AC36" t="s">
        <v>28</v>
      </c>
    </row>
    <row r="37" spans="1:29">
      <c r="A37" t="s">
        <v>99</v>
      </c>
      <c r="B37">
        <v>954264</v>
      </c>
      <c r="C37" t="s">
        <v>100</v>
      </c>
      <c r="D37">
        <v>11979</v>
      </c>
      <c r="E37">
        <v>41</v>
      </c>
      <c r="F37">
        <v>80</v>
      </c>
      <c r="G37">
        <v>20</v>
      </c>
      <c r="H37">
        <v>18</v>
      </c>
      <c r="I37">
        <v>16</v>
      </c>
      <c r="J37">
        <v>21</v>
      </c>
      <c r="K37">
        <v>21</v>
      </c>
      <c r="L37">
        <v>18</v>
      </c>
      <c r="M37">
        <v>0</v>
      </c>
      <c r="N37">
        <v>0</v>
      </c>
      <c r="O37">
        <v>3</v>
      </c>
      <c r="P37">
        <v>158</v>
      </c>
      <c r="Q37">
        <v>160</v>
      </c>
      <c r="R37">
        <v>114</v>
      </c>
      <c r="S37">
        <v>117</v>
      </c>
      <c r="T37">
        <v>158</v>
      </c>
      <c r="V37">
        <v>12</v>
      </c>
      <c r="X37">
        <v>18</v>
      </c>
      <c r="Y37">
        <v>30</v>
      </c>
      <c r="AA37">
        <v>20</v>
      </c>
      <c r="AB37">
        <f t="shared" si="1"/>
        <v>178</v>
      </c>
      <c r="AC37" t="s">
        <v>70</v>
      </c>
    </row>
    <row r="38" spans="1:29">
      <c r="A38" t="s">
        <v>101</v>
      </c>
      <c r="B38">
        <v>862274</v>
      </c>
      <c r="C38" t="s">
        <v>102</v>
      </c>
      <c r="D38">
        <v>11979</v>
      </c>
      <c r="E38">
        <v>40</v>
      </c>
      <c r="F38">
        <v>80</v>
      </c>
      <c r="G38">
        <v>16</v>
      </c>
      <c r="H38">
        <v>21</v>
      </c>
      <c r="I38">
        <v>10</v>
      </c>
      <c r="J38">
        <v>16</v>
      </c>
      <c r="K38">
        <v>20</v>
      </c>
      <c r="L38">
        <v>0</v>
      </c>
      <c r="M38">
        <v>13</v>
      </c>
      <c r="N38">
        <v>0</v>
      </c>
      <c r="O38">
        <v>0</v>
      </c>
      <c r="P38">
        <v>136</v>
      </c>
      <c r="Q38">
        <v>160</v>
      </c>
      <c r="R38">
        <v>96</v>
      </c>
      <c r="S38">
        <v>96</v>
      </c>
      <c r="T38">
        <v>136</v>
      </c>
      <c r="X38">
        <v>22</v>
      </c>
      <c r="Y38">
        <v>22</v>
      </c>
      <c r="AA38">
        <v>20</v>
      </c>
      <c r="AB38">
        <f t="shared" si="1"/>
        <v>156</v>
      </c>
      <c r="AC38" t="s">
        <v>103</v>
      </c>
    </row>
    <row r="39" spans="1:29">
      <c r="A39" t="s">
        <v>104</v>
      </c>
      <c r="B39">
        <v>813438</v>
      </c>
      <c r="C39" t="s">
        <v>105</v>
      </c>
      <c r="D39">
        <v>11979</v>
      </c>
      <c r="E39">
        <v>64</v>
      </c>
      <c r="F39">
        <v>80</v>
      </c>
      <c r="G39">
        <v>21</v>
      </c>
      <c r="H39">
        <v>18</v>
      </c>
      <c r="I39">
        <v>20</v>
      </c>
      <c r="J39">
        <v>19.5</v>
      </c>
      <c r="K39">
        <v>23</v>
      </c>
      <c r="L39">
        <v>22</v>
      </c>
      <c r="M39">
        <v>21</v>
      </c>
      <c r="N39">
        <v>19.5</v>
      </c>
      <c r="O39">
        <v>3</v>
      </c>
      <c r="P39">
        <v>231</v>
      </c>
      <c r="Q39">
        <v>160</v>
      </c>
      <c r="R39">
        <v>164</v>
      </c>
      <c r="S39">
        <v>163</v>
      </c>
      <c r="T39">
        <v>227</v>
      </c>
      <c r="U39">
        <v>4</v>
      </c>
      <c r="X39">
        <v>19</v>
      </c>
      <c r="Y39">
        <v>23</v>
      </c>
      <c r="AA39">
        <f t="shared" si="0"/>
        <v>19</v>
      </c>
      <c r="AB39">
        <f t="shared" si="1"/>
        <v>246</v>
      </c>
      <c r="AC39" t="s">
        <v>28</v>
      </c>
    </row>
    <row r="40" spans="1:29">
      <c r="A40" t="s">
        <v>106</v>
      </c>
      <c r="B40">
        <v>394013</v>
      </c>
      <c r="C40" t="s">
        <v>107</v>
      </c>
      <c r="D40">
        <v>11979</v>
      </c>
      <c r="E40">
        <v>54</v>
      </c>
      <c r="F40">
        <v>80</v>
      </c>
      <c r="G40">
        <v>21</v>
      </c>
      <c r="H40">
        <v>0</v>
      </c>
      <c r="I40">
        <v>0</v>
      </c>
      <c r="J40">
        <v>19</v>
      </c>
      <c r="K40">
        <v>14</v>
      </c>
      <c r="L40">
        <v>22</v>
      </c>
      <c r="M40">
        <v>21</v>
      </c>
      <c r="N40">
        <v>20</v>
      </c>
      <c r="O40">
        <v>3</v>
      </c>
      <c r="P40">
        <v>174</v>
      </c>
      <c r="Q40">
        <v>160</v>
      </c>
      <c r="R40">
        <v>117</v>
      </c>
      <c r="S40">
        <v>120</v>
      </c>
      <c r="T40">
        <v>174</v>
      </c>
      <c r="X40">
        <v>5</v>
      </c>
      <c r="Y40">
        <v>5</v>
      </c>
      <c r="AA40">
        <f t="shared" si="0"/>
        <v>5</v>
      </c>
      <c r="AB40">
        <f t="shared" si="1"/>
        <v>179</v>
      </c>
      <c r="AC40" t="s">
        <v>70</v>
      </c>
    </row>
    <row r="41" spans="1:29">
      <c r="A41" t="s">
        <v>108</v>
      </c>
      <c r="B41">
        <v>899676</v>
      </c>
      <c r="C41" t="s">
        <v>109</v>
      </c>
      <c r="D41">
        <v>11979</v>
      </c>
      <c r="E41">
        <v>64</v>
      </c>
      <c r="F41">
        <v>80</v>
      </c>
      <c r="G41">
        <v>18</v>
      </c>
      <c r="H41">
        <v>13</v>
      </c>
      <c r="I41">
        <v>20</v>
      </c>
      <c r="J41">
        <v>18</v>
      </c>
      <c r="K41">
        <v>20</v>
      </c>
      <c r="L41">
        <v>17</v>
      </c>
      <c r="M41">
        <v>23</v>
      </c>
      <c r="N41">
        <v>14</v>
      </c>
      <c r="O41">
        <v>3</v>
      </c>
      <c r="P41">
        <v>210</v>
      </c>
      <c r="Q41">
        <v>160</v>
      </c>
      <c r="R41">
        <v>143</v>
      </c>
      <c r="S41">
        <v>146</v>
      </c>
      <c r="T41">
        <v>210</v>
      </c>
      <c r="V41">
        <v>10</v>
      </c>
      <c r="X41">
        <v>30</v>
      </c>
      <c r="Y41">
        <v>40</v>
      </c>
      <c r="AA41">
        <v>20</v>
      </c>
      <c r="AB41">
        <f t="shared" si="1"/>
        <v>230</v>
      </c>
      <c r="AC41" t="s">
        <v>49</v>
      </c>
    </row>
    <row r="42" spans="1:29">
      <c r="A42" t="s">
        <v>110</v>
      </c>
      <c r="B42">
        <v>737024</v>
      </c>
      <c r="C42" t="s">
        <v>111</v>
      </c>
      <c r="D42">
        <v>11979</v>
      </c>
      <c r="F42">
        <v>80</v>
      </c>
      <c r="G42">
        <v>21</v>
      </c>
      <c r="H42">
        <v>20</v>
      </c>
      <c r="I42">
        <v>20</v>
      </c>
      <c r="J42">
        <v>19.5</v>
      </c>
      <c r="K42">
        <v>20</v>
      </c>
      <c r="L42">
        <v>0</v>
      </c>
      <c r="M42">
        <v>0</v>
      </c>
      <c r="N42">
        <v>0</v>
      </c>
      <c r="O42">
        <v>3</v>
      </c>
      <c r="P42">
        <v>103.5</v>
      </c>
      <c r="Q42">
        <v>160</v>
      </c>
      <c r="R42">
        <v>100.5</v>
      </c>
      <c r="S42">
        <v>103.5</v>
      </c>
      <c r="T42">
        <v>103.5</v>
      </c>
      <c r="V42">
        <v>12</v>
      </c>
      <c r="X42">
        <v>23</v>
      </c>
      <c r="Y42">
        <v>35</v>
      </c>
      <c r="AA42">
        <v>20</v>
      </c>
      <c r="AB42">
        <f t="shared" si="1"/>
        <v>123.5</v>
      </c>
      <c r="AC42" t="s">
        <v>112</v>
      </c>
    </row>
    <row r="43" spans="1:29">
      <c r="A43" t="s">
        <v>113</v>
      </c>
      <c r="B43">
        <v>774695</v>
      </c>
      <c r="C43" t="s">
        <v>114</v>
      </c>
      <c r="D43">
        <v>11979</v>
      </c>
      <c r="E43">
        <v>85</v>
      </c>
      <c r="F43">
        <v>80</v>
      </c>
      <c r="G43">
        <v>20</v>
      </c>
      <c r="H43">
        <v>16</v>
      </c>
      <c r="I43">
        <v>20</v>
      </c>
      <c r="J43">
        <v>20</v>
      </c>
      <c r="K43">
        <v>18</v>
      </c>
      <c r="L43">
        <v>20</v>
      </c>
      <c r="M43">
        <v>22</v>
      </c>
      <c r="N43">
        <v>19</v>
      </c>
      <c r="O43">
        <v>3</v>
      </c>
      <c r="P43">
        <v>243</v>
      </c>
      <c r="Q43">
        <v>160</v>
      </c>
      <c r="R43">
        <v>155</v>
      </c>
      <c r="S43">
        <v>158</v>
      </c>
      <c r="T43">
        <v>243</v>
      </c>
      <c r="X43">
        <v>19</v>
      </c>
      <c r="Y43">
        <v>19</v>
      </c>
      <c r="AA43">
        <f t="shared" si="0"/>
        <v>19</v>
      </c>
      <c r="AB43">
        <f t="shared" si="1"/>
        <v>262</v>
      </c>
      <c r="AC43" t="s">
        <v>37</v>
      </c>
    </row>
    <row r="44" spans="1:29">
      <c r="A44" t="s">
        <v>115</v>
      </c>
      <c r="B44">
        <v>722205</v>
      </c>
      <c r="C44" t="s">
        <v>116</v>
      </c>
      <c r="D44">
        <v>11979</v>
      </c>
      <c r="E44">
        <v>102</v>
      </c>
      <c r="F44">
        <v>80</v>
      </c>
      <c r="G44">
        <v>20</v>
      </c>
      <c r="H44">
        <v>20</v>
      </c>
      <c r="I44">
        <v>20</v>
      </c>
      <c r="J44">
        <v>20.5</v>
      </c>
      <c r="K44">
        <v>20</v>
      </c>
      <c r="L44">
        <v>20</v>
      </c>
      <c r="M44">
        <v>22</v>
      </c>
      <c r="N44">
        <v>20</v>
      </c>
      <c r="O44">
        <v>3</v>
      </c>
      <c r="P44">
        <v>267.5</v>
      </c>
      <c r="Q44">
        <v>160</v>
      </c>
      <c r="R44">
        <v>162.5</v>
      </c>
      <c r="S44">
        <v>163</v>
      </c>
      <c r="T44">
        <v>265</v>
      </c>
      <c r="U44">
        <v>2.5</v>
      </c>
      <c r="V44">
        <v>12</v>
      </c>
      <c r="X44">
        <v>28</v>
      </c>
      <c r="Y44">
        <v>42.5</v>
      </c>
      <c r="AA44">
        <v>20</v>
      </c>
      <c r="AB44">
        <f t="shared" si="1"/>
        <v>285</v>
      </c>
      <c r="AC44" t="s">
        <v>37</v>
      </c>
    </row>
    <row r="45" spans="1:29">
      <c r="A45" t="s">
        <v>117</v>
      </c>
      <c r="B45">
        <v>1200977</v>
      </c>
      <c r="C45" t="s">
        <v>118</v>
      </c>
      <c r="D45">
        <v>11979</v>
      </c>
      <c r="E45">
        <v>61</v>
      </c>
      <c r="F45">
        <v>80</v>
      </c>
      <c r="G45">
        <v>19</v>
      </c>
      <c r="H45">
        <v>16</v>
      </c>
      <c r="I45">
        <v>21</v>
      </c>
      <c r="J45">
        <v>21</v>
      </c>
      <c r="K45">
        <v>22</v>
      </c>
      <c r="L45">
        <v>20</v>
      </c>
      <c r="M45">
        <v>21.25</v>
      </c>
      <c r="N45">
        <v>19.5</v>
      </c>
      <c r="O45">
        <v>3</v>
      </c>
      <c r="P45">
        <v>223.75</v>
      </c>
      <c r="Q45">
        <v>160</v>
      </c>
      <c r="R45">
        <v>159.75</v>
      </c>
      <c r="S45">
        <v>162.75</v>
      </c>
      <c r="T45">
        <v>223.75</v>
      </c>
      <c r="X45">
        <v>34</v>
      </c>
      <c r="Y45">
        <v>34</v>
      </c>
      <c r="AA45">
        <v>20</v>
      </c>
      <c r="AB45">
        <f t="shared" si="1"/>
        <v>243.75</v>
      </c>
      <c r="AC45" t="s">
        <v>28</v>
      </c>
    </row>
    <row r="46" spans="1:29">
      <c r="A46" t="s">
        <v>119</v>
      </c>
      <c r="B46">
        <v>390428</v>
      </c>
      <c r="C46" t="s">
        <v>120</v>
      </c>
      <c r="D46">
        <v>11979</v>
      </c>
      <c r="E46">
        <v>57</v>
      </c>
      <c r="F46">
        <v>80</v>
      </c>
      <c r="G46">
        <v>20</v>
      </c>
      <c r="H46">
        <v>13</v>
      </c>
      <c r="I46">
        <v>20</v>
      </c>
      <c r="J46">
        <v>19</v>
      </c>
      <c r="K46">
        <v>18</v>
      </c>
      <c r="L46">
        <v>16</v>
      </c>
      <c r="M46">
        <v>10.75</v>
      </c>
      <c r="N46">
        <v>19.5</v>
      </c>
      <c r="O46">
        <v>3</v>
      </c>
      <c r="P46">
        <v>196.25</v>
      </c>
      <c r="Q46">
        <v>160</v>
      </c>
      <c r="R46">
        <v>136.25</v>
      </c>
      <c r="S46">
        <v>139.25</v>
      </c>
      <c r="T46">
        <v>196.25</v>
      </c>
      <c r="V46">
        <v>10</v>
      </c>
      <c r="X46">
        <v>18</v>
      </c>
      <c r="Y46">
        <v>28</v>
      </c>
      <c r="AA46">
        <v>20</v>
      </c>
      <c r="AB46">
        <f t="shared" si="1"/>
        <v>216.25</v>
      </c>
      <c r="AC46" t="s">
        <v>42</v>
      </c>
    </row>
    <row r="47" spans="1:29">
      <c r="A47" t="s">
        <v>121</v>
      </c>
      <c r="B47">
        <v>877662</v>
      </c>
      <c r="C47" t="s">
        <v>122</v>
      </c>
      <c r="D47">
        <v>11979</v>
      </c>
      <c r="E47">
        <v>77</v>
      </c>
      <c r="F47">
        <v>80</v>
      </c>
      <c r="G47">
        <v>20</v>
      </c>
      <c r="H47">
        <v>19</v>
      </c>
      <c r="I47">
        <v>20</v>
      </c>
      <c r="J47">
        <v>19</v>
      </c>
      <c r="K47">
        <v>23</v>
      </c>
      <c r="L47">
        <v>18.5</v>
      </c>
      <c r="M47">
        <v>20</v>
      </c>
      <c r="N47">
        <v>18.5</v>
      </c>
      <c r="O47">
        <v>3</v>
      </c>
      <c r="P47">
        <v>238</v>
      </c>
      <c r="Q47">
        <v>160</v>
      </c>
      <c r="R47">
        <v>158</v>
      </c>
      <c r="S47">
        <v>161</v>
      </c>
      <c r="T47">
        <v>238</v>
      </c>
      <c r="V47">
        <v>12</v>
      </c>
      <c r="X47">
        <v>26</v>
      </c>
      <c r="Y47">
        <v>38</v>
      </c>
      <c r="AA47">
        <v>20</v>
      </c>
      <c r="AB47">
        <f t="shared" si="1"/>
        <v>258</v>
      </c>
      <c r="AC47" t="s">
        <v>28</v>
      </c>
    </row>
    <row r="48" spans="1:29">
      <c r="A48" t="s">
        <v>123</v>
      </c>
      <c r="B48">
        <v>631482</v>
      </c>
      <c r="C48" t="s">
        <v>124</v>
      </c>
      <c r="D48">
        <v>11979</v>
      </c>
      <c r="E48">
        <v>76</v>
      </c>
      <c r="F48">
        <v>80</v>
      </c>
      <c r="G48">
        <v>17</v>
      </c>
      <c r="H48">
        <v>15</v>
      </c>
      <c r="I48">
        <v>16</v>
      </c>
      <c r="J48">
        <v>18</v>
      </c>
      <c r="K48">
        <v>17</v>
      </c>
      <c r="L48">
        <v>19</v>
      </c>
      <c r="M48">
        <v>20</v>
      </c>
      <c r="N48">
        <v>18</v>
      </c>
      <c r="O48">
        <v>3</v>
      </c>
      <c r="P48">
        <v>219</v>
      </c>
      <c r="Q48">
        <v>160</v>
      </c>
      <c r="R48">
        <v>140</v>
      </c>
      <c r="S48">
        <v>143</v>
      </c>
      <c r="T48">
        <v>219</v>
      </c>
      <c r="X48">
        <v>29</v>
      </c>
      <c r="Y48">
        <v>29</v>
      </c>
      <c r="AA48">
        <v>20</v>
      </c>
      <c r="AB48">
        <f t="shared" si="1"/>
        <v>239</v>
      </c>
      <c r="AC48" t="s">
        <v>28</v>
      </c>
    </row>
    <row r="49" spans="1:29">
      <c r="A49" t="s">
        <v>125</v>
      </c>
      <c r="B49">
        <v>671908</v>
      </c>
      <c r="C49" t="s">
        <v>126</v>
      </c>
      <c r="D49">
        <v>11979</v>
      </c>
      <c r="E49">
        <v>96</v>
      </c>
      <c r="F49">
        <v>80</v>
      </c>
      <c r="G49">
        <v>22</v>
      </c>
      <c r="H49">
        <v>19.5</v>
      </c>
      <c r="I49">
        <v>21</v>
      </c>
      <c r="J49">
        <v>20.5</v>
      </c>
      <c r="K49">
        <v>24</v>
      </c>
      <c r="L49">
        <v>19.5</v>
      </c>
      <c r="M49">
        <v>25</v>
      </c>
      <c r="N49">
        <v>28.5</v>
      </c>
      <c r="O49">
        <v>3</v>
      </c>
      <c r="P49">
        <v>279</v>
      </c>
      <c r="Q49">
        <v>160</v>
      </c>
      <c r="R49">
        <v>180</v>
      </c>
      <c r="S49">
        <v>163</v>
      </c>
      <c r="T49">
        <v>259</v>
      </c>
      <c r="U49">
        <v>20</v>
      </c>
      <c r="V49">
        <v>10</v>
      </c>
      <c r="X49">
        <v>19</v>
      </c>
      <c r="Y49">
        <v>49</v>
      </c>
      <c r="AA49">
        <v>20</v>
      </c>
      <c r="AB49">
        <f t="shared" si="1"/>
        <v>279</v>
      </c>
      <c r="AC49" t="s">
        <v>37</v>
      </c>
    </row>
    <row r="50" spans="1:29">
      <c r="A50" t="s">
        <v>127</v>
      </c>
      <c r="B50">
        <v>936913</v>
      </c>
      <c r="C50" t="s">
        <v>128</v>
      </c>
      <c r="D50">
        <v>11979</v>
      </c>
      <c r="E50">
        <v>80</v>
      </c>
      <c r="F50">
        <v>80</v>
      </c>
      <c r="G50">
        <v>20</v>
      </c>
      <c r="H50">
        <v>17</v>
      </c>
      <c r="I50">
        <v>21</v>
      </c>
      <c r="J50">
        <v>20.5</v>
      </c>
      <c r="K50">
        <v>22</v>
      </c>
      <c r="L50">
        <v>22</v>
      </c>
      <c r="M50">
        <v>21.25</v>
      </c>
      <c r="N50">
        <v>27.5</v>
      </c>
      <c r="O50">
        <v>3</v>
      </c>
      <c r="P50">
        <v>254.25</v>
      </c>
      <c r="Q50">
        <v>160</v>
      </c>
      <c r="R50">
        <v>171.25</v>
      </c>
      <c r="S50">
        <v>163</v>
      </c>
      <c r="T50">
        <v>243</v>
      </c>
      <c r="U50">
        <v>11.25</v>
      </c>
      <c r="X50">
        <v>30</v>
      </c>
      <c r="Y50">
        <v>41.25</v>
      </c>
      <c r="AA50">
        <v>20</v>
      </c>
      <c r="AB50">
        <f t="shared" si="1"/>
        <v>263</v>
      </c>
      <c r="AC50" t="s">
        <v>37</v>
      </c>
    </row>
    <row r="51" spans="1:29">
      <c r="A51" t="s">
        <v>129</v>
      </c>
      <c r="B51">
        <v>728063</v>
      </c>
      <c r="C51" t="s">
        <v>130</v>
      </c>
      <c r="D51">
        <v>11979</v>
      </c>
      <c r="E51">
        <v>86</v>
      </c>
      <c r="F51">
        <v>80</v>
      </c>
      <c r="G51">
        <v>18</v>
      </c>
      <c r="H51">
        <v>18</v>
      </c>
      <c r="I51">
        <v>20</v>
      </c>
      <c r="J51">
        <v>20</v>
      </c>
      <c r="K51">
        <v>21</v>
      </c>
      <c r="L51">
        <v>20.5</v>
      </c>
      <c r="M51">
        <v>18.5</v>
      </c>
      <c r="N51">
        <v>22</v>
      </c>
      <c r="O51">
        <v>3</v>
      </c>
      <c r="P51">
        <v>247</v>
      </c>
      <c r="Q51">
        <v>160</v>
      </c>
      <c r="R51">
        <v>158</v>
      </c>
      <c r="S51">
        <v>161</v>
      </c>
      <c r="T51">
        <v>247</v>
      </c>
      <c r="W51">
        <v>8</v>
      </c>
      <c r="X51">
        <v>26</v>
      </c>
      <c r="Y51">
        <v>34</v>
      </c>
      <c r="AA51">
        <v>20</v>
      </c>
      <c r="AB51">
        <f t="shared" si="1"/>
        <v>267</v>
      </c>
      <c r="AC51" t="s">
        <v>37</v>
      </c>
    </row>
    <row r="52" spans="1:29">
      <c r="A52" t="s">
        <v>131</v>
      </c>
      <c r="B52">
        <v>1159747</v>
      </c>
      <c r="C52" t="s">
        <v>132</v>
      </c>
      <c r="D52">
        <v>11979</v>
      </c>
      <c r="E52">
        <v>75</v>
      </c>
      <c r="F52">
        <v>80</v>
      </c>
      <c r="G52">
        <v>17</v>
      </c>
      <c r="H52">
        <v>15.5</v>
      </c>
      <c r="I52">
        <v>20</v>
      </c>
      <c r="J52">
        <v>18</v>
      </c>
      <c r="K52">
        <v>20</v>
      </c>
      <c r="L52">
        <v>19</v>
      </c>
      <c r="M52">
        <v>22</v>
      </c>
      <c r="N52">
        <v>18</v>
      </c>
      <c r="O52">
        <v>3</v>
      </c>
      <c r="P52">
        <v>227.5</v>
      </c>
      <c r="Q52">
        <v>160</v>
      </c>
      <c r="R52">
        <v>149.5</v>
      </c>
      <c r="S52">
        <v>152.5</v>
      </c>
      <c r="T52">
        <v>227.5</v>
      </c>
      <c r="V52">
        <v>10</v>
      </c>
      <c r="X52">
        <v>30</v>
      </c>
      <c r="Y52">
        <v>40</v>
      </c>
      <c r="AA52">
        <v>20</v>
      </c>
      <c r="AB52">
        <f t="shared" si="1"/>
        <v>247.5</v>
      </c>
      <c r="AC52" t="s">
        <v>28</v>
      </c>
    </row>
    <row r="53" spans="1:29">
      <c r="A53" t="s">
        <v>133</v>
      </c>
      <c r="B53">
        <v>712205</v>
      </c>
      <c r="C53" t="s">
        <v>134</v>
      </c>
      <c r="D53">
        <v>11979</v>
      </c>
      <c r="E53">
        <v>86</v>
      </c>
      <c r="F53">
        <v>80</v>
      </c>
      <c r="G53">
        <v>19</v>
      </c>
      <c r="H53">
        <v>16.5</v>
      </c>
      <c r="I53">
        <v>20</v>
      </c>
      <c r="J53">
        <v>19</v>
      </c>
      <c r="K53">
        <v>20</v>
      </c>
      <c r="L53">
        <v>21</v>
      </c>
      <c r="M53">
        <v>25</v>
      </c>
      <c r="N53">
        <v>22</v>
      </c>
      <c r="O53">
        <v>3</v>
      </c>
      <c r="P53">
        <v>251.5</v>
      </c>
      <c r="Q53">
        <v>160</v>
      </c>
      <c r="R53">
        <v>162.5</v>
      </c>
      <c r="S53">
        <v>163</v>
      </c>
      <c r="T53">
        <v>249</v>
      </c>
      <c r="U53">
        <v>2.5</v>
      </c>
      <c r="X53">
        <v>19</v>
      </c>
      <c r="Y53">
        <v>21.5</v>
      </c>
      <c r="AA53">
        <f t="shared" si="0"/>
        <v>19</v>
      </c>
      <c r="AB53">
        <f t="shared" si="1"/>
        <v>268</v>
      </c>
      <c r="AC53" t="s">
        <v>37</v>
      </c>
    </row>
    <row r="54" spans="1:29">
      <c r="A54" t="s">
        <v>135</v>
      </c>
      <c r="B54">
        <v>992263</v>
      </c>
      <c r="C54" t="s">
        <v>136</v>
      </c>
      <c r="D54">
        <v>11979</v>
      </c>
      <c r="E54">
        <v>45</v>
      </c>
      <c r="F54">
        <v>80</v>
      </c>
      <c r="G54">
        <v>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59</v>
      </c>
      <c r="Q54">
        <v>160</v>
      </c>
      <c r="R54">
        <v>11</v>
      </c>
      <c r="S54">
        <v>14</v>
      </c>
      <c r="T54">
        <v>59</v>
      </c>
      <c r="X54">
        <v>9</v>
      </c>
      <c r="Y54">
        <v>9</v>
      </c>
      <c r="AA54">
        <f t="shared" si="0"/>
        <v>9</v>
      </c>
      <c r="AB54">
        <f t="shared" si="1"/>
        <v>68</v>
      </c>
      <c r="AC54" t="s">
        <v>112</v>
      </c>
    </row>
    <row r="55" spans="1:29">
      <c r="A55" t="s">
        <v>137</v>
      </c>
      <c r="B55">
        <v>511252</v>
      </c>
      <c r="C55" t="s">
        <v>138</v>
      </c>
      <c r="D55">
        <v>11979</v>
      </c>
      <c r="E55">
        <v>64</v>
      </c>
      <c r="F55">
        <v>80</v>
      </c>
      <c r="G55">
        <v>17</v>
      </c>
      <c r="H55">
        <v>16.5</v>
      </c>
      <c r="I55">
        <v>20</v>
      </c>
      <c r="J55">
        <v>22</v>
      </c>
      <c r="K55">
        <v>21</v>
      </c>
      <c r="L55">
        <v>19.5</v>
      </c>
      <c r="M55">
        <v>18</v>
      </c>
      <c r="N55">
        <v>21</v>
      </c>
      <c r="O55">
        <v>3</v>
      </c>
      <c r="P55">
        <v>222</v>
      </c>
      <c r="Q55">
        <v>160</v>
      </c>
      <c r="R55">
        <v>155</v>
      </c>
      <c r="S55">
        <v>158</v>
      </c>
      <c r="T55">
        <v>222</v>
      </c>
      <c r="W55">
        <v>8</v>
      </c>
      <c r="X55">
        <v>29</v>
      </c>
      <c r="Y55">
        <v>37</v>
      </c>
      <c r="AA55">
        <v>20</v>
      </c>
      <c r="AB55">
        <f t="shared" si="1"/>
        <v>242</v>
      </c>
      <c r="AC55" t="s">
        <v>28</v>
      </c>
    </row>
    <row r="56" spans="1:29">
      <c r="A56" t="s">
        <v>139</v>
      </c>
      <c r="B56">
        <v>803059</v>
      </c>
      <c r="C56" t="s">
        <v>140</v>
      </c>
      <c r="D56">
        <v>11979</v>
      </c>
      <c r="E56">
        <v>93</v>
      </c>
      <c r="F56">
        <v>80</v>
      </c>
      <c r="G56">
        <v>18</v>
      </c>
      <c r="H56">
        <v>18</v>
      </c>
      <c r="I56">
        <v>20</v>
      </c>
      <c r="J56">
        <v>20</v>
      </c>
      <c r="K56">
        <v>18</v>
      </c>
      <c r="L56">
        <v>15.5</v>
      </c>
      <c r="M56">
        <v>17.5</v>
      </c>
      <c r="N56">
        <v>22</v>
      </c>
      <c r="O56">
        <v>3</v>
      </c>
      <c r="P56">
        <v>245</v>
      </c>
      <c r="Q56">
        <v>160</v>
      </c>
      <c r="R56">
        <v>149</v>
      </c>
      <c r="S56">
        <v>152</v>
      </c>
      <c r="T56">
        <v>245</v>
      </c>
      <c r="W56">
        <v>6</v>
      </c>
      <c r="X56">
        <v>24</v>
      </c>
      <c r="Y56">
        <v>30</v>
      </c>
      <c r="AA56">
        <v>20</v>
      </c>
      <c r="AB56">
        <f t="shared" si="1"/>
        <v>265</v>
      </c>
      <c r="AC56" t="s">
        <v>37</v>
      </c>
    </row>
    <row r="57" spans="1:29">
      <c r="A57" t="s">
        <v>141</v>
      </c>
      <c r="B57">
        <v>687974</v>
      </c>
      <c r="C57" t="s">
        <v>142</v>
      </c>
      <c r="D57">
        <v>11979</v>
      </c>
      <c r="E57">
        <v>51</v>
      </c>
      <c r="F57">
        <v>80</v>
      </c>
      <c r="G57">
        <v>19</v>
      </c>
      <c r="H57">
        <v>0</v>
      </c>
      <c r="I57">
        <v>20</v>
      </c>
      <c r="J57">
        <v>0</v>
      </c>
      <c r="K57">
        <v>17</v>
      </c>
      <c r="L57">
        <v>17.5</v>
      </c>
      <c r="M57">
        <v>20</v>
      </c>
      <c r="N57">
        <v>12.5</v>
      </c>
      <c r="O57">
        <v>3</v>
      </c>
      <c r="P57">
        <v>160</v>
      </c>
      <c r="Q57">
        <v>160</v>
      </c>
      <c r="R57">
        <v>106</v>
      </c>
      <c r="S57">
        <v>109</v>
      </c>
      <c r="T57">
        <v>160</v>
      </c>
      <c r="X57">
        <v>4</v>
      </c>
      <c r="Y57">
        <v>4</v>
      </c>
      <c r="AA57">
        <f t="shared" si="0"/>
        <v>4</v>
      </c>
      <c r="AB57">
        <f t="shared" si="1"/>
        <v>164</v>
      </c>
      <c r="AC57" t="s">
        <v>103</v>
      </c>
    </row>
    <row r="58" spans="1:29">
      <c r="A58" t="s">
        <v>143</v>
      </c>
      <c r="B58">
        <v>373312</v>
      </c>
      <c r="C58" t="s">
        <v>144</v>
      </c>
      <c r="D58">
        <v>11979</v>
      </c>
      <c r="E58">
        <v>0</v>
      </c>
      <c r="F58">
        <v>80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160</v>
      </c>
      <c r="R58">
        <v>0</v>
      </c>
      <c r="S58">
        <v>0</v>
      </c>
      <c r="T58">
        <v>0</v>
      </c>
      <c r="X58">
        <v>0</v>
      </c>
      <c r="Y58">
        <v>0</v>
      </c>
      <c r="AA58">
        <f t="shared" si="0"/>
        <v>0</v>
      </c>
      <c r="AB58">
        <f t="shared" si="1"/>
        <v>0</v>
      </c>
      <c r="AC58" t="s">
        <v>112</v>
      </c>
    </row>
    <row r="59" spans="1:29">
      <c r="A59" t="s">
        <v>145</v>
      </c>
      <c r="B59">
        <v>764658</v>
      </c>
      <c r="C59" t="s">
        <v>146</v>
      </c>
      <c r="D59">
        <v>11979</v>
      </c>
      <c r="E59">
        <v>63</v>
      </c>
      <c r="F59">
        <v>80</v>
      </c>
      <c r="G59">
        <v>15</v>
      </c>
      <c r="H59">
        <v>17.5</v>
      </c>
      <c r="I59">
        <v>18</v>
      </c>
      <c r="J59">
        <v>18</v>
      </c>
      <c r="K59">
        <v>20</v>
      </c>
      <c r="L59">
        <v>0</v>
      </c>
      <c r="M59">
        <v>0</v>
      </c>
      <c r="N59">
        <v>0</v>
      </c>
      <c r="O59">
        <v>3</v>
      </c>
      <c r="P59">
        <v>154.5</v>
      </c>
      <c r="Q59">
        <v>160</v>
      </c>
      <c r="R59">
        <v>88.5</v>
      </c>
      <c r="S59">
        <v>91.5</v>
      </c>
      <c r="T59">
        <v>154.5</v>
      </c>
      <c r="W59">
        <v>8</v>
      </c>
      <c r="X59">
        <v>14</v>
      </c>
      <c r="Y59">
        <v>22</v>
      </c>
      <c r="AA59">
        <v>20</v>
      </c>
      <c r="AB59">
        <f t="shared" si="1"/>
        <v>174.5</v>
      </c>
      <c r="AC59" t="s">
        <v>103</v>
      </c>
    </row>
    <row r="60" spans="1:29">
      <c r="A60" t="s">
        <v>147</v>
      </c>
      <c r="B60">
        <v>691596</v>
      </c>
      <c r="C60" t="s">
        <v>148</v>
      </c>
      <c r="D60">
        <v>11979</v>
      </c>
      <c r="E60">
        <v>81</v>
      </c>
      <c r="F60">
        <v>80</v>
      </c>
      <c r="G60">
        <v>22</v>
      </c>
      <c r="H60">
        <v>18</v>
      </c>
      <c r="I60">
        <v>20</v>
      </c>
      <c r="J60">
        <v>19.5</v>
      </c>
      <c r="K60">
        <v>20</v>
      </c>
      <c r="L60">
        <v>20</v>
      </c>
      <c r="M60">
        <v>19.5</v>
      </c>
      <c r="N60">
        <v>25.5</v>
      </c>
      <c r="O60">
        <v>3</v>
      </c>
      <c r="P60">
        <v>248.5</v>
      </c>
      <c r="Q60">
        <v>160</v>
      </c>
      <c r="R60">
        <v>164.5</v>
      </c>
      <c r="S60">
        <v>163</v>
      </c>
      <c r="T60">
        <v>244</v>
      </c>
      <c r="U60">
        <v>4.5</v>
      </c>
      <c r="V60">
        <v>12</v>
      </c>
      <c r="W60">
        <v>8</v>
      </c>
      <c r="X60">
        <v>21</v>
      </c>
      <c r="Y60">
        <v>45.5</v>
      </c>
      <c r="AA60">
        <v>20</v>
      </c>
      <c r="AB60">
        <f t="shared" si="1"/>
        <v>264</v>
      </c>
      <c r="AC60" t="s">
        <v>37</v>
      </c>
    </row>
    <row r="61" spans="1:29">
      <c r="A61" t="s">
        <v>149</v>
      </c>
      <c r="B61">
        <v>541717</v>
      </c>
      <c r="C61" t="s">
        <v>150</v>
      </c>
      <c r="D61">
        <v>11979</v>
      </c>
      <c r="E61">
        <v>51</v>
      </c>
      <c r="F61">
        <v>80</v>
      </c>
      <c r="G61">
        <v>20</v>
      </c>
      <c r="H61">
        <v>19</v>
      </c>
      <c r="I61">
        <v>21</v>
      </c>
      <c r="J61">
        <v>18</v>
      </c>
      <c r="K61">
        <v>21</v>
      </c>
      <c r="L61">
        <v>20</v>
      </c>
      <c r="M61">
        <v>21</v>
      </c>
      <c r="N61">
        <v>16.5</v>
      </c>
      <c r="O61">
        <v>3</v>
      </c>
      <c r="P61">
        <v>210.5</v>
      </c>
      <c r="Q61">
        <v>160</v>
      </c>
      <c r="R61">
        <v>156.5</v>
      </c>
      <c r="S61">
        <v>159.5</v>
      </c>
      <c r="T61">
        <v>210.5</v>
      </c>
      <c r="X61">
        <v>23</v>
      </c>
      <c r="Y61">
        <v>23</v>
      </c>
      <c r="AA61">
        <v>20</v>
      </c>
      <c r="AB61">
        <f t="shared" si="1"/>
        <v>230.5</v>
      </c>
      <c r="AC61" t="s">
        <v>49</v>
      </c>
    </row>
    <row r="62" spans="1:29">
      <c r="A62" t="s">
        <v>151</v>
      </c>
      <c r="B62">
        <v>887563</v>
      </c>
      <c r="C62" t="s">
        <v>152</v>
      </c>
      <c r="D62">
        <v>11979</v>
      </c>
      <c r="E62">
        <v>79</v>
      </c>
      <c r="F62">
        <v>80</v>
      </c>
      <c r="G62">
        <v>20</v>
      </c>
      <c r="H62">
        <v>18</v>
      </c>
      <c r="I62">
        <v>20</v>
      </c>
      <c r="J62">
        <v>19.5</v>
      </c>
      <c r="K62">
        <v>19</v>
      </c>
      <c r="L62">
        <v>19</v>
      </c>
      <c r="M62">
        <v>16.5</v>
      </c>
      <c r="N62">
        <v>18</v>
      </c>
      <c r="O62">
        <v>3</v>
      </c>
      <c r="P62">
        <v>232</v>
      </c>
      <c r="Q62">
        <v>160</v>
      </c>
      <c r="R62">
        <v>150</v>
      </c>
      <c r="S62">
        <v>153</v>
      </c>
      <c r="T62">
        <v>232</v>
      </c>
      <c r="X62">
        <v>20</v>
      </c>
      <c r="Y62">
        <v>20</v>
      </c>
      <c r="AA62">
        <f t="shared" si="0"/>
        <v>20</v>
      </c>
      <c r="AB62">
        <f t="shared" si="1"/>
        <v>252</v>
      </c>
      <c r="AC62" t="s">
        <v>28</v>
      </c>
    </row>
    <row r="63" spans="1:29">
      <c r="A63" t="s">
        <v>153</v>
      </c>
      <c r="B63">
        <v>998619</v>
      </c>
      <c r="C63" t="s">
        <v>154</v>
      </c>
      <c r="D63">
        <v>11979</v>
      </c>
      <c r="E63">
        <v>72</v>
      </c>
      <c r="F63">
        <v>80</v>
      </c>
      <c r="G63">
        <v>19</v>
      </c>
      <c r="H63">
        <v>18</v>
      </c>
      <c r="I63">
        <v>20</v>
      </c>
      <c r="J63">
        <v>15</v>
      </c>
      <c r="K63">
        <v>20</v>
      </c>
      <c r="L63">
        <v>9.5</v>
      </c>
      <c r="M63">
        <v>20</v>
      </c>
      <c r="N63">
        <v>0</v>
      </c>
      <c r="O63">
        <v>3</v>
      </c>
      <c r="P63">
        <v>196.5</v>
      </c>
      <c r="Q63">
        <v>160</v>
      </c>
      <c r="R63">
        <v>121.5</v>
      </c>
      <c r="S63">
        <v>124.5</v>
      </c>
      <c r="T63">
        <v>196.5</v>
      </c>
      <c r="V63">
        <v>10</v>
      </c>
      <c r="W63">
        <v>8</v>
      </c>
      <c r="X63">
        <v>19</v>
      </c>
      <c r="Y63">
        <v>37</v>
      </c>
      <c r="AA63">
        <v>20</v>
      </c>
      <c r="AB63">
        <f t="shared" si="1"/>
        <v>216.5</v>
      </c>
      <c r="AC63" t="s">
        <v>42</v>
      </c>
    </row>
    <row r="64" spans="1:29">
      <c r="F64">
        <v>80</v>
      </c>
    </row>
    <row r="65" spans="6:6">
      <c r="F65">
        <v>80</v>
      </c>
    </row>
    <row r="66" spans="6:6">
      <c r="F66">
        <v>80</v>
      </c>
    </row>
    <row r="1048576" spans="27:27">
      <c r="AA1048576">
        <f>SUM(AA3:AA1048575)</f>
        <v>1096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Jakob Perivolotis (Student)</cp:lastModifiedBy>
  <cp:revision/>
  <dcterms:created xsi:type="dcterms:W3CDTF">2025-05-08T22:50:38Z</dcterms:created>
  <dcterms:modified xsi:type="dcterms:W3CDTF">2025-05-09T02:46:57Z</dcterms:modified>
  <cp:category/>
  <cp:contentStatus/>
</cp:coreProperties>
</file>